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faruk\Desktop\"/>
    </mc:Choice>
  </mc:AlternateContent>
  <xr:revisionPtr revIDLastSave="0" documentId="13_ncr:1_{F26A0B7D-166C-44F7-A973-BDBBFE7467AF}" xr6:coauthVersionLast="47" xr6:coauthVersionMax="47" xr10:uidLastSave="{00000000-0000-0000-0000-000000000000}"/>
  <bookViews>
    <workbookView xWindow="-110" yWindow="-110" windowWidth="25820" windowHeight="15500" tabRatio="861" xr2:uid="{00000000-000D-0000-FFFF-FFFF00000000}"/>
  </bookViews>
  <sheets>
    <sheet name="Köşe Kabin" sheetId="1" r:id="rId1"/>
    <sheet name="Oval Kabin" sheetId="2" r:id="rId2"/>
    <sheet name="1S1Ç" sheetId="3" r:id="rId3"/>
    <sheet name="1S2Ç" sheetId="4" r:id="rId4"/>
    <sheet name="2S2Ç" sheetId="5" r:id="rId5"/>
    <sheet name="Katlanır" sheetId="6" r:id="rId6"/>
    <sheet name="Cam Katlanır" sheetId="8" r:id="rId7"/>
    <sheet name="Cam Köşe Kabin" sheetId="12" r:id="rId8"/>
    <sheet name="Cam 2S2Ç Kabin" sheetId="18" r:id="rId9"/>
    <sheet name="Cam Düz Kabin" sheetId="16" r:id="rId10"/>
    <sheet name="Düz Kabin İçin" sheetId="14" state="hidden" r:id="rId11"/>
    <sheet name="Köşe Kabin İçin" sheetId="13" state="hidden" r:id="rId12"/>
    <sheet name="Parametreler" sheetId="34" state="hidden" r:id="rId13"/>
    <sheet name="Satis Listesi" sheetId="35" r:id="rId14"/>
    <sheet name="Aylik Satis" sheetId="36" r:id="rId15"/>
  </sheets>
  <definedNames>
    <definedName name="_xlnm._FilterDatabase" localSheetId="13" hidden="1">'Satis Listesi'!$A$1:$H$1</definedName>
    <definedName name="DESENLER">'Köşe Kabin İçin'!$F:$F</definedName>
    <definedName name="Profil_Cinsi">'Köşe Kabin İçin'!$A:$A</definedName>
    <definedName name="renk">'Köşe Kabin İçin'!$H:$H</definedName>
    <definedName name="_xlnm.Print_Area" localSheetId="2">'1S1Ç'!$A$1:$J$63</definedName>
    <definedName name="_xlnm.Print_Area" localSheetId="3">'1S2Ç'!$A$1:$J$62</definedName>
    <definedName name="_xlnm.Print_Area" localSheetId="4">'2S2Ç'!$A$1:$J$63</definedName>
    <definedName name="_xlnm.Print_Area" localSheetId="8">'Cam 2S2Ç Kabin'!$A$1:$J$62</definedName>
    <definedName name="_xlnm.Print_Area" localSheetId="9">'Cam Düz Kabin'!$A$1:$J$62</definedName>
    <definedName name="_xlnm.Print_Area" localSheetId="6">'Cam Katlanır'!$A$1:$I$62</definedName>
    <definedName name="_xlnm.Print_Area" localSheetId="7">'Cam Köşe Kabin'!$A$1:$J$62</definedName>
    <definedName name="_xlnm.Print_Area" localSheetId="5">Katlanır!$A$1:$J$62</definedName>
    <definedName name="_xlnm.Print_Area" localSheetId="0">'Köşe Kabin'!$A$1:$J$62</definedName>
    <definedName name="_xlnm.Print_Area" localSheetId="1">'Oval Kabin'!$A$1:$J$62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5" l="1"/>
  <c r="C25" i="5"/>
  <c r="B25" i="5"/>
  <c r="A25" i="5"/>
  <c r="I46" i="5"/>
  <c r="I58" i="18"/>
  <c r="I46" i="18"/>
  <c r="D58" i="8"/>
  <c r="E58" i="8"/>
  <c r="E46" i="8"/>
  <c r="D46" i="8"/>
  <c r="B46" i="8"/>
  <c r="B58" i="8" s="1"/>
  <c r="I58" i="8"/>
  <c r="F58" i="8"/>
  <c r="H55" i="8"/>
  <c r="G53" i="8"/>
  <c r="G51" i="8"/>
  <c r="I46" i="8"/>
  <c r="F46" i="8"/>
  <c r="H41" i="8"/>
  <c r="G38" i="8"/>
  <c r="G36" i="8"/>
  <c r="H5" i="8"/>
  <c r="H5" i="12"/>
  <c r="I60" i="6"/>
  <c r="F60" i="6"/>
  <c r="E60" i="6"/>
  <c r="D60" i="6"/>
  <c r="B60" i="6"/>
  <c r="D58" i="12"/>
  <c r="D46" i="12"/>
  <c r="E46" i="16"/>
  <c r="D46" i="16"/>
  <c r="E58" i="16"/>
  <c r="D58" i="16"/>
  <c r="D58" i="18"/>
  <c r="D46" i="18"/>
  <c r="E58" i="18"/>
  <c r="E46" i="18"/>
  <c r="E58" i="12"/>
  <c r="E46" i="12"/>
  <c r="E58" i="2"/>
  <c r="E46" i="2"/>
  <c r="E46" i="1"/>
  <c r="E58" i="1"/>
  <c r="E58" i="6" l="1"/>
  <c r="E46" i="6"/>
  <c r="E58" i="5"/>
  <c r="E46" i="5"/>
  <c r="E58" i="3"/>
  <c r="E46" i="3"/>
  <c r="E58" i="4"/>
  <c r="E46" i="4"/>
  <c r="B46" i="16" l="1"/>
  <c r="I58" i="16"/>
  <c r="F58" i="16"/>
  <c r="H55" i="16"/>
  <c r="G53" i="16"/>
  <c r="I46" i="16"/>
  <c r="F46" i="16"/>
  <c r="B58" i="16"/>
  <c r="H41" i="16"/>
  <c r="G38" i="16"/>
  <c r="G36" i="16"/>
  <c r="G51" i="16" s="1"/>
  <c r="B46" i="18"/>
  <c r="B46" i="12"/>
  <c r="B58" i="12"/>
  <c r="F58" i="12"/>
  <c r="F46" i="12"/>
  <c r="I58" i="12"/>
  <c r="I46" i="12"/>
  <c r="F58" i="18"/>
  <c r="H55" i="18"/>
  <c r="G53" i="18"/>
  <c r="F46" i="18"/>
  <c r="B58" i="18"/>
  <c r="H41" i="18"/>
  <c r="G38" i="18"/>
  <c r="G36" i="18"/>
  <c r="G51" i="18" s="1"/>
  <c r="H55" i="12"/>
  <c r="G53" i="12"/>
  <c r="G51" i="12"/>
  <c r="H41" i="12"/>
  <c r="G38" i="12"/>
  <c r="G36" i="12"/>
  <c r="I58" i="6"/>
  <c r="F58" i="6"/>
  <c r="D58" i="6"/>
  <c r="H55" i="6"/>
  <c r="G53" i="6"/>
  <c r="G51" i="6"/>
  <c r="I46" i="6"/>
  <c r="F46" i="6"/>
  <c r="D46" i="6"/>
  <c r="B46" i="6"/>
  <c r="B58" i="6" s="1"/>
  <c r="H41" i="6"/>
  <c r="G38" i="6"/>
  <c r="G36" i="6"/>
  <c r="I58" i="3"/>
  <c r="F58" i="3"/>
  <c r="D58" i="3"/>
  <c r="H55" i="3"/>
  <c r="I46" i="3"/>
  <c r="F46" i="3"/>
  <c r="D46" i="3"/>
  <c r="B46" i="3"/>
  <c r="B58" i="3" s="1"/>
  <c r="H41" i="3"/>
  <c r="G38" i="3"/>
  <c r="G53" i="3" s="1"/>
  <c r="G36" i="3"/>
  <c r="G51" i="3" s="1"/>
  <c r="I58" i="4"/>
  <c r="F58" i="4"/>
  <c r="D58" i="4"/>
  <c r="H55" i="4"/>
  <c r="G53" i="4"/>
  <c r="G51" i="4"/>
  <c r="I46" i="4"/>
  <c r="F46" i="4"/>
  <c r="D46" i="4"/>
  <c r="B46" i="4"/>
  <c r="B58" i="4" s="1"/>
  <c r="H41" i="4"/>
  <c r="G38" i="4"/>
  <c r="G36" i="4"/>
  <c r="I58" i="2"/>
  <c r="F58" i="2"/>
  <c r="D58" i="2"/>
  <c r="B58" i="2"/>
  <c r="H55" i="2"/>
  <c r="G53" i="2"/>
  <c r="G51" i="2"/>
  <c r="I46" i="2"/>
  <c r="F46" i="2"/>
  <c r="D46" i="2"/>
  <c r="B46" i="2"/>
  <c r="H41" i="2"/>
  <c r="G38" i="2"/>
  <c r="G36" i="2"/>
  <c r="I58" i="5"/>
  <c r="F58" i="5"/>
  <c r="D58" i="5"/>
  <c r="B58" i="5"/>
  <c r="H55" i="5"/>
  <c r="G53" i="5"/>
  <c r="F46" i="5"/>
  <c r="D46" i="5"/>
  <c r="B46" i="5"/>
  <c r="H41" i="5"/>
  <c r="G36" i="5"/>
  <c r="G51" i="5" s="1"/>
  <c r="I58" i="1"/>
  <c r="F58" i="1"/>
  <c r="D58" i="1"/>
  <c r="H55" i="1"/>
  <c r="B46" i="1"/>
  <c r="B58" i="1" s="1"/>
  <c r="I46" i="1"/>
  <c r="F46" i="1"/>
  <c r="D46" i="1"/>
  <c r="G38" i="1"/>
  <c r="G53" i="1" s="1"/>
  <c r="C33" i="5"/>
  <c r="C32" i="5"/>
  <c r="C31" i="5"/>
  <c r="C30" i="5"/>
  <c r="C30" i="3"/>
  <c r="C31" i="3"/>
  <c r="C25" i="3"/>
  <c r="B25" i="3"/>
  <c r="C33" i="18"/>
  <c r="C32" i="18"/>
  <c r="C31" i="18"/>
  <c r="C30" i="18"/>
  <c r="B33" i="18"/>
  <c r="B32" i="18"/>
  <c r="B31" i="18"/>
  <c r="B30" i="18"/>
  <c r="G22" i="18"/>
  <c r="F22" i="18"/>
  <c r="E22" i="18"/>
  <c r="G21" i="18"/>
  <c r="F21" i="18"/>
  <c r="E21" i="18"/>
  <c r="H5" i="18"/>
  <c r="B2" i="18"/>
  <c r="C33" i="12"/>
  <c r="C32" i="12"/>
  <c r="C30" i="12"/>
  <c r="C32" i="4"/>
  <c r="H5" i="16"/>
  <c r="E21" i="16"/>
  <c r="G22" i="16"/>
  <c r="G21" i="16"/>
  <c r="F21" i="16"/>
  <c r="F22" i="16"/>
  <c r="E22" i="16"/>
  <c r="C10" i="14"/>
  <c r="G26" i="18" s="1"/>
  <c r="C9" i="14"/>
  <c r="C7" i="14"/>
  <c r="C6" i="14"/>
  <c r="C5" i="14"/>
  <c r="F26" i="18" s="1"/>
  <c r="C3" i="14"/>
  <c r="C2" i="14"/>
  <c r="C1" i="14"/>
  <c r="E26" i="16" s="1"/>
  <c r="D22" i="12"/>
  <c r="D21" i="12"/>
  <c r="C18" i="13"/>
  <c r="C17" i="13"/>
  <c r="C16" i="13"/>
  <c r="D26" i="12" s="1"/>
  <c r="C31" i="16"/>
  <c r="B31" i="16"/>
  <c r="C30" i="16"/>
  <c r="B30" i="16"/>
  <c r="B2" i="16"/>
  <c r="C10" i="13"/>
  <c r="G22" i="12"/>
  <c r="G21" i="12"/>
  <c r="G26" i="12"/>
  <c r="F22" i="12"/>
  <c r="F21" i="12"/>
  <c r="E21" i="12"/>
  <c r="E22" i="12"/>
  <c r="F26" i="16" l="1"/>
  <c r="G26" i="16"/>
  <c r="E26" i="18"/>
  <c r="B2" i="12"/>
  <c r="B2" i="8"/>
  <c r="B2" i="6"/>
  <c r="B2" i="5"/>
  <c r="B2" i="4"/>
  <c r="B2" i="3"/>
  <c r="B2" i="2"/>
  <c r="C6" i="13"/>
  <c r="C2" i="13"/>
  <c r="H25" i="8"/>
  <c r="G25" i="8"/>
  <c r="F25" i="8"/>
  <c r="E25" i="8"/>
  <c r="D25" i="8"/>
  <c r="B2" i="1"/>
  <c r="H41" i="1"/>
  <c r="E25" i="5"/>
  <c r="C7" i="13"/>
  <c r="C9" i="13"/>
  <c r="C3" i="13"/>
  <c r="C5" i="13"/>
  <c r="C1" i="13"/>
  <c r="E26" i="12" s="1"/>
  <c r="B33" i="12"/>
  <c r="B32" i="12"/>
  <c r="C31" i="12"/>
  <c r="B31" i="12"/>
  <c r="B30" i="12"/>
  <c r="C30" i="8"/>
  <c r="B30" i="8"/>
  <c r="C29" i="8"/>
  <c r="B29" i="8"/>
  <c r="C31" i="6"/>
  <c r="B31" i="6"/>
  <c r="C30" i="6"/>
  <c r="B30" i="6"/>
  <c r="H25" i="6"/>
  <c r="G25" i="6"/>
  <c r="F25" i="6"/>
  <c r="E25" i="6"/>
  <c r="D25" i="6"/>
  <c r="B33" i="5"/>
  <c r="B32" i="5"/>
  <c r="B31" i="5"/>
  <c r="B30" i="5"/>
  <c r="I25" i="5"/>
  <c r="H25" i="5"/>
  <c r="G25" i="5"/>
  <c r="F25" i="5"/>
  <c r="I12" i="5"/>
  <c r="B32" i="4"/>
  <c r="C31" i="4"/>
  <c r="B31" i="4"/>
  <c r="C30" i="4"/>
  <c r="B30" i="4"/>
  <c r="I25" i="4"/>
  <c r="H25" i="4"/>
  <c r="G25" i="4"/>
  <c r="F25" i="4"/>
  <c r="E25" i="4"/>
  <c r="D25" i="4"/>
  <c r="C25" i="4"/>
  <c r="B25" i="4"/>
  <c r="I12" i="4"/>
  <c r="B31" i="3"/>
  <c r="B30" i="3"/>
  <c r="I25" i="3"/>
  <c r="H25" i="3"/>
  <c r="G25" i="3"/>
  <c r="F25" i="3"/>
  <c r="E25" i="3"/>
  <c r="D25" i="3"/>
  <c r="I12" i="3"/>
  <c r="C33" i="2"/>
  <c r="B33" i="2"/>
  <c r="C32" i="2"/>
  <c r="B32" i="2"/>
  <c r="C31" i="2"/>
  <c r="B31" i="2"/>
  <c r="C30" i="2"/>
  <c r="B30" i="2"/>
  <c r="I25" i="2"/>
  <c r="H25" i="2"/>
  <c r="G25" i="2"/>
  <c r="F25" i="2"/>
  <c r="E25" i="2"/>
  <c r="D25" i="2"/>
  <c r="C25" i="2"/>
  <c r="B25" i="2"/>
  <c r="A25" i="2"/>
  <c r="I12" i="2"/>
  <c r="B10" i="2"/>
  <c r="G36" i="1"/>
  <c r="G51" i="1" s="1"/>
  <c r="C33" i="1"/>
  <c r="B33" i="1"/>
  <c r="C32" i="1"/>
  <c r="B32" i="1"/>
  <c r="C31" i="1"/>
  <c r="B31" i="1"/>
  <c r="C30" i="1"/>
  <c r="B30" i="1"/>
  <c r="I25" i="1"/>
  <c r="H25" i="1"/>
  <c r="G25" i="1"/>
  <c r="F25" i="1"/>
  <c r="E25" i="1"/>
  <c r="D25" i="1"/>
  <c r="C25" i="1"/>
  <c r="B25" i="1"/>
  <c r="A25" i="1"/>
  <c r="I13" i="1"/>
  <c r="I12" i="1"/>
  <c r="F26" i="1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</futureMetadata>
  <valueMetadata count="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</valueMetadata>
</metadata>
</file>

<file path=xl/sharedStrings.xml><?xml version="1.0" encoding="utf-8"?>
<sst xmlns="http://schemas.openxmlformats.org/spreadsheetml/2006/main" count="610" uniqueCount="116">
  <si>
    <t>Bayi</t>
  </si>
  <si>
    <t>Müşteri</t>
  </si>
  <si>
    <t>Tarih:</t>
  </si>
  <si>
    <t>Kasım Arslan</t>
  </si>
  <si>
    <t>Profil</t>
  </si>
  <si>
    <t>Parlak</t>
  </si>
  <si>
    <t>Cam</t>
  </si>
  <si>
    <t>Damla</t>
  </si>
  <si>
    <t>H</t>
  </si>
  <si>
    <t>Erkek Ray</t>
  </si>
  <si>
    <t>En</t>
  </si>
  <si>
    <t>Boy</t>
  </si>
  <si>
    <t>2 Adet</t>
  </si>
  <si>
    <t>PLEKSİ KÖŞE KABİN</t>
  </si>
  <si>
    <t>Dişi</t>
  </si>
  <si>
    <t>Etek</t>
  </si>
  <si>
    <t>Mıknatıslı</t>
  </si>
  <si>
    <t>Arka Kanat</t>
  </si>
  <si>
    <t>Ön Panel</t>
  </si>
  <si>
    <t>Arka Panel</t>
  </si>
  <si>
    <t>Dar U</t>
  </si>
  <si>
    <t>Müşteri Bilgileri</t>
  </si>
  <si>
    <t>Sabit Cam</t>
  </si>
  <si>
    <t>1 Adet</t>
  </si>
  <si>
    <t>Çalışır Cam</t>
  </si>
  <si>
    <t>Teslim Fişi</t>
  </si>
  <si>
    <t>Müşteri:</t>
  </si>
  <si>
    <t>Telefon:</t>
  </si>
  <si>
    <t>Ürün</t>
  </si>
  <si>
    <t>Yükseklik</t>
  </si>
  <si>
    <t>Ölçü</t>
  </si>
  <si>
    <t>Açıklama</t>
  </si>
  <si>
    <t>Fiyat</t>
  </si>
  <si>
    <t>Siyah</t>
  </si>
  <si>
    <t>Oval Ölç.</t>
  </si>
  <si>
    <t>PLEKSİ OVAL KABİN</t>
  </si>
  <si>
    <t>4 Adet</t>
  </si>
  <si>
    <t>Hıdır Ayzaduş</t>
  </si>
  <si>
    <t>PLEKSİ 1S1Ç KABİN</t>
  </si>
  <si>
    <t>Mık. Karşılığı</t>
  </si>
  <si>
    <t>PLEKSİ 1S2Ç KABİN</t>
  </si>
  <si>
    <t>PLEKSİ 2S2Ç KABİN</t>
  </si>
  <si>
    <t>PLEKSİ KATLANIR KABİN</t>
  </si>
  <si>
    <t>Ray</t>
  </si>
  <si>
    <t>Cam Dikmesi</t>
  </si>
  <si>
    <t>Fitilli Dikme</t>
  </si>
  <si>
    <t>Duvar Dikemsi</t>
  </si>
  <si>
    <t>CAM KATLANIR KABİN</t>
  </si>
  <si>
    <t>Model</t>
  </si>
  <si>
    <t>Liverno</t>
  </si>
  <si>
    <t>CAM KÖŞE KABİN</t>
  </si>
  <si>
    <t>Duvar Dikmesi</t>
  </si>
  <si>
    <t>Altın</t>
  </si>
  <si>
    <t>Karolaj</t>
  </si>
  <si>
    <t>Pratiko</t>
  </si>
  <si>
    <t>Karolaj + Kum</t>
  </si>
  <si>
    <t>Süperlüx</t>
  </si>
  <si>
    <t>Füme</t>
  </si>
  <si>
    <t>Şeffaf</t>
  </si>
  <si>
    <t>Tam Kumlu</t>
  </si>
  <si>
    <t>Parlak Profil Damla Desen Pleksi</t>
  </si>
  <si>
    <t>Siyah Süperlüx Şeffaf Kabin</t>
  </si>
  <si>
    <t>Sipariş Fişi</t>
  </si>
  <si>
    <t>40*40 kutu profil</t>
  </si>
  <si>
    <t>40*40 kut profil</t>
  </si>
  <si>
    <t xml:space="preserve">şenol yıldız   </t>
  </si>
  <si>
    <t>ibrahim karagöz</t>
  </si>
  <si>
    <t>Tarih</t>
  </si>
  <si>
    <t>Musteri</t>
  </si>
  <si>
    <t>Urun</t>
  </si>
  <si>
    <t>Yukseklik</t>
  </si>
  <si>
    <t>Olcu</t>
  </si>
  <si>
    <t>Aciklama</t>
  </si>
  <si>
    <t>AYLIK SATIS LISTESI</t>
  </si>
  <si>
    <t>Ay Sec (yyyy-mm):</t>
  </si>
  <si>
    <t>Mevcut Aylar</t>
  </si>
  <si>
    <t>Musteri/Bayi</t>
  </si>
  <si>
    <t>2025-08</t>
  </si>
  <si>
    <t>Fiyat TL</t>
  </si>
  <si>
    <t>Key</t>
  </si>
  <si>
    <t>Address (Active sheet)</t>
  </si>
  <si>
    <t>TARIH</t>
  </si>
  <si>
    <t>B2</t>
  </si>
  <si>
    <t>BAYI</t>
  </si>
  <si>
    <t>MUSTERI</t>
  </si>
  <si>
    <t>URUN</t>
  </si>
  <si>
    <t>YUK</t>
  </si>
  <si>
    <t>OLCU</t>
  </si>
  <si>
    <t>ACIK</t>
  </si>
  <si>
    <t>FIYAT</t>
  </si>
  <si>
    <t>D2</t>
  </si>
  <si>
    <t>I30</t>
  </si>
  <si>
    <t>G2</t>
  </si>
  <si>
    <t>B46</t>
  </si>
  <si>
    <t>F46</t>
  </si>
  <si>
    <t>parlak</t>
  </si>
  <si>
    <t>kasım arslan</t>
  </si>
  <si>
    <t>Siyah Pratiko 1s1ç</t>
  </si>
  <si>
    <t>CAM 1S1Ç KABİN</t>
  </si>
  <si>
    <t>Parlak profil damla desen</t>
  </si>
  <si>
    <t>İlhan</t>
  </si>
  <si>
    <t>Katlanır Parlak Profil Pleksi</t>
  </si>
  <si>
    <t>Yan Pano</t>
  </si>
  <si>
    <t>Parlak Profil</t>
  </si>
  <si>
    <t>Burçin</t>
  </si>
  <si>
    <t>Siyah Profil 1003 Desen</t>
  </si>
  <si>
    <t>Zeki</t>
  </si>
  <si>
    <t>Doğuş</t>
  </si>
  <si>
    <t>CAM 2S2Ç KABİN</t>
  </si>
  <si>
    <t>Parlak Liverno 1004 desen</t>
  </si>
  <si>
    <t>Siyah profil pleksi</t>
  </si>
  <si>
    <t>damla</t>
  </si>
  <si>
    <t>dursune kızı</t>
  </si>
  <si>
    <t>ali osman</t>
  </si>
  <si>
    <t>E45</t>
  </si>
  <si>
    <t>F45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</si>
</sst>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 * #,##0.00_ ;_ * \-#,##0.00_ ;_ * &quot;-&quot;??_ ;_ @_ "/>
    <numFmt numFmtId="166" formatCode="mm/dd/yy;@"/>
    <numFmt numFmtId="167" formatCode="#,000_);[Red]\(#,000\)"/>
    <numFmt numFmtId="168" formatCode="[$-F800]dddd\,\ mmmm\ dd\,\ yyyy"/>
    <numFmt numFmtId="169" formatCode="&quot;₺&quot;#,##0.00"/>
    <numFmt numFmtId="170" formatCode="dd\.mm\.yyyy"/>
    <numFmt numFmtId="171" formatCode="[$?-41F]\ #,##0.00"/>
  </numFmts>
  <fonts count="18" x14ac:knownFonts="1">
    <font>
      <sz val="11"/>
      <color theme="1"/>
      <name val="Aptos Narrow"/>
      <charset val="134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6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36"/>
      <color theme="1"/>
      <name val="Aptos Display"/>
      <family val="2"/>
      <scheme val="major"/>
    </font>
    <font>
      <b/>
      <sz val="22"/>
      <color theme="1"/>
      <name val="Aptos Display"/>
      <family val="2"/>
      <scheme val="major"/>
    </font>
    <font>
      <b/>
      <sz val="28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  <charset val="162"/>
    </font>
    <font>
      <b/>
      <sz val="10"/>
      <color theme="1"/>
      <name val="Segoe UI"/>
      <family val="2"/>
      <charset val="162"/>
    </font>
    <font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</cellStyleXfs>
  <cellXfs count="16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6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0" xfId="0" applyFont="1"/>
    <xf numFmtId="0" fontId="3" fillId="0" borderId="2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4" borderId="1" xfId="0" applyFont="1" applyFill="1" applyBorder="1"/>
    <xf numFmtId="0" fontId="4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/>
    </xf>
    <xf numFmtId="167" fontId="3" fillId="0" borderId="0" xfId="1" applyNumberFormat="1" applyFont="1" applyAlignment="1"/>
    <xf numFmtId="0" fontId="4" fillId="0" borderId="0" xfId="0" applyFont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3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3" fillId="0" borderId="0" xfId="0" applyFont="1"/>
    <xf numFmtId="49" fontId="0" fillId="0" borderId="0" xfId="0" applyNumberFormat="1"/>
    <xf numFmtId="0" fontId="14" fillId="0" borderId="0" xfId="0" applyFont="1"/>
    <xf numFmtId="170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171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 wrapText="1"/>
    </xf>
    <xf numFmtId="170" fontId="13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right"/>
    </xf>
    <xf numFmtId="49" fontId="16" fillId="0" borderId="0" xfId="0" applyNumberFormat="1" applyFont="1"/>
    <xf numFmtId="170" fontId="13" fillId="7" borderId="0" xfId="0" applyNumberFormat="1" applyFont="1" applyFill="1" applyAlignment="1">
      <alignment horizontal="center"/>
    </xf>
    <xf numFmtId="0" fontId="13" fillId="7" borderId="0" xfId="0" applyFont="1" applyFill="1" applyAlignment="1">
      <alignment horizontal="left"/>
    </xf>
    <xf numFmtId="0" fontId="13" fillId="7" borderId="0" xfId="0" applyFont="1" applyFill="1" applyAlignment="1">
      <alignment horizontal="center"/>
    </xf>
    <xf numFmtId="171" fontId="13" fillId="7" borderId="0" xfId="0" applyNumberFormat="1" applyFont="1" applyFill="1" applyAlignment="1">
      <alignment horizontal="right"/>
    </xf>
    <xf numFmtId="170" fontId="15" fillId="7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wrapText="1"/>
    </xf>
    <xf numFmtId="171" fontId="15" fillId="7" borderId="0" xfId="0" applyNumberFormat="1" applyFont="1" applyFill="1" applyAlignment="1">
      <alignment horizontal="right" vertical="center"/>
    </xf>
    <xf numFmtId="0" fontId="12" fillId="0" borderId="0" xfId="0" applyFont="1" applyAlignment="1">
      <alignment vertical="center"/>
    </xf>
    <xf numFmtId="171" fontId="0" fillId="8" borderId="0" xfId="0" applyNumberFormat="1" applyFill="1" applyAlignment="1">
      <alignment horizontal="right"/>
    </xf>
    <xf numFmtId="0" fontId="13" fillId="0" borderId="0" xfId="0" applyFont="1" applyAlignment="1">
      <alignment horizontal="left"/>
    </xf>
    <xf numFmtId="171" fontId="13" fillId="0" borderId="0" xfId="0" applyNumberFormat="1" applyFont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68" fontId="6" fillId="0" borderId="21" xfId="0" applyNumberFormat="1" applyFont="1" applyBorder="1" applyAlignment="1">
      <alignment horizontal="center"/>
    </xf>
    <xf numFmtId="168" fontId="6" fillId="0" borderId="19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9" fontId="3" fillId="0" borderId="35" xfId="2" applyNumberFormat="1" applyFont="1" applyBorder="1" applyAlignment="1">
      <alignment horizontal="center" vertical="center"/>
    </xf>
    <xf numFmtId="169" fontId="3" fillId="0" borderId="36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9" fontId="3" fillId="0" borderId="20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8" fontId="7" fillId="0" borderId="21" xfId="0" applyNumberFormat="1" applyFont="1" applyBorder="1" applyAlignment="1">
      <alignment horizontal="center"/>
    </xf>
    <xf numFmtId="168" fontId="7" fillId="0" borderId="19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9" fontId="3" fillId="0" borderId="10" xfId="2" applyNumberFormat="1" applyFont="1" applyBorder="1" applyAlignment="1">
      <alignment horizontal="center" vertical="center"/>
    </xf>
    <xf numFmtId="169" fontId="3" fillId="0" borderId="12" xfId="2" applyNumberFormat="1" applyFont="1" applyBorder="1" applyAlignment="1">
      <alignment horizontal="center" vertical="center"/>
    </xf>
    <xf numFmtId="169" fontId="3" fillId="0" borderId="20" xfId="2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3">
    <cellStyle name="Normal" xfId="0" builtinId="0"/>
    <cellStyle name="ParaBirimi" xfId="2" builtinId="4"/>
    <cellStyle name="Virgül" xfId="1" builtinId="3"/>
  </cellStyles>
  <dxfs count="2">
    <dxf>
      <fill>
        <patternFill>
          <bgColor rgb="FFFAFCFF"/>
        </patternFill>
      </fill>
    </dxf>
    <dxf>
      <fill>
        <patternFill>
          <bgColor rgb="FFFAFCFF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5</xdr:col>
      <xdr:colOff>304800</xdr:colOff>
      <xdr:row>2</xdr:row>
      <xdr:rowOff>165100</xdr:rowOff>
    </xdr:to>
    <xdr:sp macro="Aylik_ListeyiGuncelle" textlink="">
      <xdr:nvSpPr>
        <xdr:cNvPr id="2" name="btnAylikListe">
          <a:extLst>
            <a:ext uri="{FF2B5EF4-FFF2-40B4-BE49-F238E27FC236}">
              <a16:creationId xmlns:a16="http://schemas.microsoft.com/office/drawing/2014/main" id="{8B4D6916-FEEA-38BB-9842-89FD29EA71BD}"/>
            </a:ext>
          </a:extLst>
        </xdr:cNvPr>
        <xdr:cNvSpPr/>
      </xdr:nvSpPr>
      <xdr:spPr>
        <a:xfrm>
          <a:off x="1828800" y="190500"/>
          <a:ext cx="1524000" cy="355600"/>
        </a:xfrm>
        <a:prstGeom prst="roundRect">
          <a:avLst/>
        </a:prstGeom>
        <a:solidFill>
          <a:srgbClr val="007AC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rgbClr val="FFFFFF"/>
              </a:solidFill>
            </a:rPr>
            <a:t>Listeyi Getir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7">
  <rv s="0">
    <v>0</v>
    <v>6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4</v>
  </rv>
  <rv s="0">
    <v>0</v>
    <v>5</v>
  </rv>
  <rv s="0">
    <v>24</v>
    <v>4</v>
  </rv>
  <rv s="0">
    <v>25</v>
    <v>4</v>
  </rv>
  <rv s="0">
    <v>26</v>
    <v>4</v>
  </rv>
  <rv s="0">
    <v>27</v>
    <v>4</v>
  </rv>
  <rv s="0">
    <v>28</v>
    <v>4</v>
  </rv>
  <rv s="0">
    <v>29</v>
    <v>4</v>
  </rv>
  <rv s="0">
    <v>30</v>
    <v>4</v>
  </rv>
  <rv s="0">
    <v>25</v>
    <v>5</v>
  </rv>
  <rv s="0">
    <v>29</v>
    <v>5</v>
  </rv>
  <rv s="0">
    <v>31</v>
    <v>5</v>
  </rv>
  <rv s="0">
    <v>26</v>
    <v>5</v>
  </rv>
  <rv s="0">
    <v>30</v>
    <v>5</v>
  </rv>
  <rv s="0">
    <v>32</v>
    <v>5</v>
  </rv>
  <rv s="0">
    <v>33</v>
    <v>5</v>
  </rv>
  <rv s="0">
    <v>27</v>
    <v>5</v>
  </rv>
  <rv s="0">
    <v>34</v>
    <v>5</v>
  </rv>
  <rv s="0">
    <v>23</v>
    <v>5</v>
  </rv>
  <rv s="0">
    <v>24</v>
    <v>5</v>
  </rv>
  <rv s="0">
    <v>35</v>
    <v>5</v>
  </rv>
  <rv s="0">
    <v>28</v>
    <v>5</v>
  </rv>
  <rv s="0">
    <v>36</v>
    <v>5</v>
  </rv>
  <rv s="0">
    <v>37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FAF8DFD-303F-4E53-9EC5-5AC9F7FCA23A}">
  <we:reference id="wa200005271" version="2.6.0.0" store="tr-TR" storeType="OMEX"/>
  <we:alternateReferences>
    <we:reference id="wa200005271" version="2.6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F17D49B-90DA-43B0-B8EB-72EDD7B32C19}">
  <we:reference id="wa200005502" version="1.0.0.12" store="tr-TR" storeType="OMEX"/>
  <we:alternateReferences>
    <we:reference id="WA200005502" version="1.0.0.12" store="WA200005502" storeType="OMEX"/>
  </we:alternateReferences>
  <we:properties>
    <we:property name="docId" value="&quot;0n9VmsoljxE1WhTCaGpy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pageSetUpPr fitToPage="1"/>
  </sheetPr>
  <dimension ref="A1:L77"/>
  <sheetViews>
    <sheetView tabSelected="1" topLeftCell="A5" workbookViewId="0">
      <selection activeCell="F43" sqref="F43"/>
    </sheetView>
  </sheetViews>
  <sheetFormatPr defaultColWidth="9" defaultRowHeight="14" x14ac:dyDescent="0.25"/>
  <cols>
    <col min="1" max="1" width="11.08984375" customWidth="1"/>
    <col min="2" max="2" width="13.26953125" customWidth="1"/>
    <col min="3" max="3" width="13.7265625" customWidth="1"/>
    <col min="4" max="4" width="13.26953125" customWidth="1"/>
    <col min="5" max="5" width="11.7265625" customWidth="1"/>
    <col min="6" max="6" width="12.7265625" customWidth="1"/>
    <col min="7" max="7" width="13" customWidth="1"/>
    <col min="8" max="8" width="14" customWidth="1"/>
    <col min="9" max="9" width="11.453125" customWidth="1"/>
    <col min="10" max="10" width="13" customWidth="1"/>
    <col min="11" max="11" width="12.08984375" customWidth="1"/>
  </cols>
  <sheetData>
    <row r="1" spans="1:10" ht="15" x14ac:dyDescent="0.35">
      <c r="A1" s="5"/>
      <c r="B1" s="5"/>
      <c r="C1" s="5"/>
      <c r="D1" s="80" t="s">
        <v>0</v>
      </c>
      <c r="E1" s="81"/>
      <c r="F1" s="81"/>
      <c r="G1" s="80" t="s">
        <v>1</v>
      </c>
      <c r="H1" s="80"/>
      <c r="I1" s="80"/>
      <c r="J1" s="5"/>
    </row>
    <row r="2" spans="1:10" ht="16" x14ac:dyDescent="0.4">
      <c r="A2" s="21" t="s">
        <v>2</v>
      </c>
      <c r="B2" s="87">
        <f ca="1">TODAY()</f>
        <v>46006</v>
      </c>
      <c r="C2" s="88"/>
      <c r="D2" s="82" t="s">
        <v>3</v>
      </c>
      <c r="E2" s="83"/>
      <c r="F2" s="83"/>
      <c r="G2" s="84"/>
      <c r="H2" s="83"/>
      <c r="I2" s="83"/>
      <c r="J2" s="5"/>
    </row>
    <row r="3" spans="1:10" ht="15" x14ac:dyDescent="0.3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5" x14ac:dyDescent="0.3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5" x14ac:dyDescent="0.35">
      <c r="A5" s="8" t="s">
        <v>4</v>
      </c>
      <c r="B5" s="25" t="s">
        <v>5</v>
      </c>
      <c r="C5" s="5"/>
      <c r="D5" s="9"/>
      <c r="E5" s="89" t="e" vm="1">
        <v>#VALUE!</v>
      </c>
      <c r="F5" s="90"/>
      <c r="G5" s="91"/>
      <c r="H5" s="9"/>
      <c r="I5" s="9"/>
      <c r="J5" s="5"/>
    </row>
    <row r="6" spans="1:10" ht="15" x14ac:dyDescent="0.35">
      <c r="A6" s="8" t="s">
        <v>6</v>
      </c>
      <c r="B6" s="6" t="s">
        <v>7</v>
      </c>
      <c r="C6" s="5"/>
      <c r="D6" s="9"/>
      <c r="E6" s="92"/>
      <c r="F6" s="93"/>
      <c r="G6" s="94"/>
      <c r="H6" s="9"/>
      <c r="I6" s="5"/>
      <c r="J6" s="5"/>
    </row>
    <row r="7" spans="1:10" ht="15" x14ac:dyDescent="0.35">
      <c r="A7" s="8" t="s">
        <v>8</v>
      </c>
      <c r="B7" s="6">
        <v>182</v>
      </c>
      <c r="C7" s="5"/>
      <c r="D7" s="9"/>
      <c r="E7" s="92"/>
      <c r="F7" s="93"/>
      <c r="G7" s="94"/>
      <c r="H7" s="9"/>
      <c r="I7" s="10" t="s">
        <v>9</v>
      </c>
      <c r="J7" s="5"/>
    </row>
    <row r="8" spans="1:10" ht="13.9" customHeight="1" x14ac:dyDescent="0.35">
      <c r="A8" s="8" t="s">
        <v>10</v>
      </c>
      <c r="B8" s="6">
        <v>78</v>
      </c>
      <c r="C8" s="5"/>
      <c r="D8" s="9"/>
      <c r="E8" s="92"/>
      <c r="F8" s="93"/>
      <c r="G8" s="94"/>
      <c r="H8" s="9"/>
      <c r="I8" s="86" t="e" vm="2">
        <v>#VALUE!</v>
      </c>
      <c r="J8" s="5"/>
    </row>
    <row r="9" spans="1:10" ht="15" x14ac:dyDescent="0.35">
      <c r="A9" s="8" t="s">
        <v>11</v>
      </c>
      <c r="B9" s="6">
        <v>80</v>
      </c>
      <c r="C9" s="5"/>
      <c r="D9" s="9"/>
      <c r="E9" s="92"/>
      <c r="F9" s="93"/>
      <c r="G9" s="94"/>
      <c r="H9" s="9"/>
      <c r="I9" s="86"/>
      <c r="J9" s="5"/>
    </row>
    <row r="10" spans="1:10" ht="15" x14ac:dyDescent="0.35">
      <c r="A10" s="5"/>
      <c r="B10" s="5"/>
      <c r="C10" s="5"/>
      <c r="D10" s="9"/>
      <c r="E10" s="92"/>
      <c r="F10" s="93"/>
      <c r="G10" s="94"/>
      <c r="H10" s="9"/>
      <c r="I10" s="86"/>
      <c r="J10" s="5"/>
    </row>
    <row r="11" spans="1:10" ht="15" x14ac:dyDescent="0.35">
      <c r="A11" s="5"/>
      <c r="B11" s="5"/>
      <c r="C11" s="5"/>
      <c r="D11" s="9"/>
      <c r="E11" s="92"/>
      <c r="F11" s="93"/>
      <c r="G11" s="94"/>
      <c r="H11" s="9"/>
      <c r="I11" s="86"/>
      <c r="J11" s="5"/>
    </row>
    <row r="12" spans="1:10" ht="15" x14ac:dyDescent="0.35">
      <c r="A12" s="5"/>
      <c r="B12" s="5"/>
      <c r="C12" s="5"/>
      <c r="D12" s="9"/>
      <c r="E12" s="92"/>
      <c r="F12" s="93"/>
      <c r="G12" s="94"/>
      <c r="H12" s="9"/>
      <c r="I12" s="11">
        <f>(B8-9)</f>
        <v>69</v>
      </c>
      <c r="J12" s="7" t="s">
        <v>12</v>
      </c>
    </row>
    <row r="13" spans="1:10" ht="15" x14ac:dyDescent="0.35">
      <c r="A13" s="5"/>
      <c r="B13" s="5"/>
      <c r="C13" s="5"/>
      <c r="D13" s="9"/>
      <c r="E13" s="92"/>
      <c r="F13" s="93"/>
      <c r="G13" s="94"/>
      <c r="H13" s="9"/>
      <c r="I13" s="11">
        <f>(B9-9)</f>
        <v>71</v>
      </c>
      <c r="J13" s="7" t="s">
        <v>12</v>
      </c>
    </row>
    <row r="14" spans="1:10" ht="16" x14ac:dyDescent="0.4">
      <c r="A14" s="5"/>
      <c r="B14" s="85" t="s">
        <v>13</v>
      </c>
      <c r="C14" s="85"/>
      <c r="D14" s="9"/>
      <c r="E14" s="92"/>
      <c r="F14" s="93"/>
      <c r="G14" s="94"/>
      <c r="H14" s="9"/>
      <c r="I14" s="9"/>
      <c r="J14" s="5"/>
    </row>
    <row r="15" spans="1:10" ht="15" x14ac:dyDescent="0.35">
      <c r="A15" s="5"/>
      <c r="B15" s="5"/>
      <c r="C15" s="5"/>
      <c r="D15" s="9"/>
      <c r="E15" s="92"/>
      <c r="F15" s="93"/>
      <c r="G15" s="94"/>
      <c r="H15" s="9"/>
      <c r="I15" s="9"/>
      <c r="J15" s="5"/>
    </row>
    <row r="16" spans="1:10" ht="15" x14ac:dyDescent="0.35">
      <c r="A16" s="5"/>
      <c r="B16" s="5"/>
      <c r="C16" s="5"/>
      <c r="D16" s="9"/>
      <c r="E16" s="92"/>
      <c r="F16" s="93"/>
      <c r="G16" s="94"/>
      <c r="H16" s="9"/>
      <c r="I16" s="9"/>
      <c r="J16" s="5"/>
    </row>
    <row r="17" spans="1:11" ht="15" x14ac:dyDescent="0.35">
      <c r="A17" s="5"/>
      <c r="B17" s="5"/>
      <c r="C17" s="5"/>
      <c r="D17" s="5"/>
      <c r="E17" s="95"/>
      <c r="F17" s="96"/>
      <c r="G17" s="97"/>
      <c r="H17" s="5"/>
      <c r="I17" s="5"/>
      <c r="J17" s="5"/>
    </row>
    <row r="18" spans="1:11" ht="1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1" ht="1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1" ht="16" x14ac:dyDescent="0.4">
      <c r="A20" s="12" t="s">
        <v>14</v>
      </c>
      <c r="B20" s="12" t="s">
        <v>15</v>
      </c>
      <c r="C20" s="12" t="s">
        <v>14</v>
      </c>
      <c r="D20" s="12" t="s">
        <v>15</v>
      </c>
      <c r="E20" s="12" t="s">
        <v>16</v>
      </c>
      <c r="F20" s="12" t="s">
        <v>17</v>
      </c>
      <c r="G20" s="12" t="s">
        <v>18</v>
      </c>
      <c r="H20" s="12" t="s">
        <v>19</v>
      </c>
      <c r="I20" s="13" t="s">
        <v>20</v>
      </c>
      <c r="J20" s="14"/>
      <c r="K20" s="1"/>
    </row>
    <row r="21" spans="1:11" ht="15" x14ac:dyDescent="0.35">
      <c r="A21" s="86" t="e" vm="3">
        <v>#VALUE!</v>
      </c>
      <c r="B21" s="86" t="e" vm="4">
        <v>#VALUE!</v>
      </c>
      <c r="C21" s="86" t="e" vm="3">
        <v>#VALUE!</v>
      </c>
      <c r="D21" s="86" t="e" vm="4">
        <v>#VALUE!</v>
      </c>
      <c r="E21" s="102" t="e" vm="5">
        <v>#VALUE!</v>
      </c>
      <c r="F21" s="83" t="e" vm="6">
        <v>#VALUE!</v>
      </c>
      <c r="G21" s="83" t="e" vm="7">
        <v>#VALUE!</v>
      </c>
      <c r="H21" s="83" t="e" vm="8">
        <v>#VALUE!</v>
      </c>
      <c r="I21" s="98" t="e" vm="9">
        <v>#VALUE!</v>
      </c>
      <c r="J21" s="5"/>
    </row>
    <row r="22" spans="1:11" ht="15" x14ac:dyDescent="0.35">
      <c r="A22" s="86"/>
      <c r="B22" s="86"/>
      <c r="C22" s="86"/>
      <c r="D22" s="86"/>
      <c r="E22" s="102"/>
      <c r="F22" s="83"/>
      <c r="G22" s="83"/>
      <c r="H22" s="83"/>
      <c r="I22" s="98"/>
      <c r="J22" s="5"/>
    </row>
    <row r="23" spans="1:11" ht="15" x14ac:dyDescent="0.35">
      <c r="A23" s="86"/>
      <c r="B23" s="86"/>
      <c r="C23" s="86"/>
      <c r="D23" s="86"/>
      <c r="E23" s="102"/>
      <c r="F23" s="83"/>
      <c r="G23" s="83"/>
      <c r="H23" s="83"/>
      <c r="I23" s="98"/>
      <c r="J23" s="5"/>
    </row>
    <row r="24" spans="1:11" ht="15" x14ac:dyDescent="0.35">
      <c r="A24" s="86"/>
      <c r="B24" s="86"/>
      <c r="C24" s="86"/>
      <c r="D24" s="86"/>
      <c r="E24" s="102"/>
      <c r="F24" s="83"/>
      <c r="G24" s="83"/>
      <c r="H24" s="83"/>
      <c r="I24" s="98"/>
      <c r="J24" s="5"/>
    </row>
    <row r="25" spans="1:11" ht="14.5" x14ac:dyDescent="0.25">
      <c r="A25" s="16">
        <f>(B8/2)-5</f>
        <v>34</v>
      </c>
      <c r="B25" s="16">
        <f>(B8/2)-5</f>
        <v>34</v>
      </c>
      <c r="C25" s="16">
        <f>(B9/2)-5</f>
        <v>35</v>
      </c>
      <c r="D25" s="16">
        <f>(B9/2)-5</f>
        <v>35</v>
      </c>
      <c r="E25" s="16">
        <f>(B7-5.8)</f>
        <v>176.2</v>
      </c>
      <c r="F25" s="16">
        <f>(B7-5.8)</f>
        <v>176.2</v>
      </c>
      <c r="G25" s="16">
        <f>(B7-12.5)</f>
        <v>169.5</v>
      </c>
      <c r="H25" s="16">
        <f>B7</f>
        <v>182</v>
      </c>
      <c r="I25" s="17">
        <f>B7</f>
        <v>182</v>
      </c>
      <c r="J25" s="18"/>
      <c r="K25" s="2"/>
    </row>
    <row r="26" spans="1:11" ht="15" x14ac:dyDescent="0.35">
      <c r="A26" s="7" t="s">
        <v>12</v>
      </c>
      <c r="B26" s="7" t="s">
        <v>12</v>
      </c>
      <c r="C26" s="7" t="s">
        <v>12</v>
      </c>
      <c r="D26" s="7" t="s">
        <v>12</v>
      </c>
      <c r="E26" s="7" t="s">
        <v>12</v>
      </c>
      <c r="F26" s="7" t="s">
        <v>12</v>
      </c>
      <c r="G26" s="7" t="s">
        <v>12</v>
      </c>
      <c r="H26" s="7" t="s">
        <v>12</v>
      </c>
      <c r="I26" s="15" t="s">
        <v>12</v>
      </c>
      <c r="J26" s="5"/>
    </row>
    <row r="27" spans="1:11" ht="15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1" ht="15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1" ht="15" x14ac:dyDescent="0.35">
      <c r="A29" s="5"/>
      <c r="B29" s="5"/>
      <c r="C29" s="5"/>
      <c r="D29" s="5"/>
      <c r="E29" s="5"/>
      <c r="F29" s="99" t="s">
        <v>21</v>
      </c>
      <c r="G29" s="100"/>
      <c r="H29" s="4"/>
      <c r="I29" s="46" t="s">
        <v>32</v>
      </c>
      <c r="J29" s="5"/>
    </row>
    <row r="30" spans="1:11" ht="15" x14ac:dyDescent="0.35">
      <c r="A30" s="19" t="s">
        <v>22</v>
      </c>
      <c r="B30" s="7">
        <f>(B7-10.7)</f>
        <v>171.3</v>
      </c>
      <c r="C30" s="16">
        <f>(B8/2)-3.8</f>
        <v>35.200000000000003</v>
      </c>
      <c r="D30" s="7" t="s">
        <v>23</v>
      </c>
      <c r="E30" s="5"/>
      <c r="F30" s="119" t="s">
        <v>99</v>
      </c>
      <c r="G30" s="120"/>
      <c r="H30" s="121"/>
      <c r="I30" s="125">
        <v>2700</v>
      </c>
      <c r="J30" s="5"/>
    </row>
    <row r="31" spans="1:11" ht="15" x14ac:dyDescent="0.35">
      <c r="A31" s="19" t="s">
        <v>24</v>
      </c>
      <c r="B31" s="7">
        <f>(B7-10.7)</f>
        <v>171.3</v>
      </c>
      <c r="C31" s="7">
        <f>(B8/2)-3.8</f>
        <v>35.200000000000003</v>
      </c>
      <c r="D31" s="7" t="s">
        <v>23</v>
      </c>
      <c r="E31" s="5"/>
      <c r="F31" s="122"/>
      <c r="G31" s="123"/>
      <c r="H31" s="124"/>
      <c r="I31" s="126"/>
      <c r="J31" s="5"/>
    </row>
    <row r="32" spans="1:11" ht="15" x14ac:dyDescent="0.35">
      <c r="A32" s="19" t="s">
        <v>22</v>
      </c>
      <c r="B32" s="7">
        <f>(B7-10.7)</f>
        <v>171.3</v>
      </c>
      <c r="C32" s="7">
        <f>((B9/2)-3.8)</f>
        <v>36.200000000000003</v>
      </c>
      <c r="D32" s="7" t="s">
        <v>23</v>
      </c>
      <c r="E32" s="5"/>
      <c r="F32" s="5"/>
      <c r="G32" s="5"/>
      <c r="H32" s="5"/>
      <c r="I32" s="5"/>
      <c r="J32" s="5"/>
    </row>
    <row r="33" spans="1:11" ht="15" x14ac:dyDescent="0.35">
      <c r="A33" s="19" t="s">
        <v>24</v>
      </c>
      <c r="B33" s="7">
        <f>(B7-10.7)</f>
        <v>171.3</v>
      </c>
      <c r="C33" s="7">
        <f>(B9/2)-3.8</f>
        <v>36.200000000000003</v>
      </c>
      <c r="D33" s="7" t="s">
        <v>23</v>
      </c>
      <c r="E33" s="5"/>
      <c r="F33" s="5"/>
      <c r="G33" s="5"/>
      <c r="H33" s="5"/>
      <c r="I33" s="5"/>
      <c r="J33" s="5"/>
    </row>
    <row r="34" spans="1:11" ht="1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1" ht="15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>Kasım Arslan</v>
      </c>
      <c r="H36" s="103"/>
      <c r="I36" s="103"/>
      <c r="J36" s="103"/>
      <c r="K36" s="50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</row>
    <row r="38" spans="1:11" ht="15" customHeight="1" x14ac:dyDescent="0.45">
      <c r="A38" s="5"/>
      <c r="B38" s="93"/>
      <c r="C38" s="93"/>
      <c r="D38" s="93"/>
      <c r="E38" s="93"/>
      <c r="F38" s="23" t="s">
        <v>27</v>
      </c>
      <c r="G38" s="127">
        <f>G2</f>
        <v>0</v>
      </c>
      <c r="H38" s="127"/>
      <c r="I38" s="127"/>
      <c r="J38" s="5"/>
    </row>
    <row r="39" spans="1:11" ht="15" customHeight="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</row>
    <row r="40" spans="1:11" ht="15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</row>
    <row r="42" spans="1:11" ht="15" customHeight="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ht="15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ht="15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5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 s="5"/>
    </row>
    <row r="46" spans="1:11" ht="15" x14ac:dyDescent="0.35">
      <c r="A46" s="5"/>
      <c r="B46" s="101" t="str">
        <f>B14</f>
        <v>PLEKSİ KÖŞE KABİN</v>
      </c>
      <c r="C46" s="101"/>
      <c r="D46" s="101">
        <f>B7</f>
        <v>182</v>
      </c>
      <c r="E46" s="118" t="str">
        <f>B8&amp;" x "&amp;B9</f>
        <v>78 x 80</v>
      </c>
      <c r="F46" s="101" t="str">
        <f>F30</f>
        <v>Parlak profil damla desen</v>
      </c>
      <c r="G46" s="101"/>
      <c r="H46" s="101"/>
      <c r="I46" s="128">
        <f>I30</f>
        <v>2700</v>
      </c>
      <c r="J46" s="5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</row>
    <row r="48" spans="1:11" ht="15" x14ac:dyDescent="0.35">
      <c r="A48" s="5"/>
      <c r="B48" s="101"/>
      <c r="C48" s="101"/>
      <c r="D48" s="101"/>
      <c r="E48" s="101"/>
      <c r="F48" s="101"/>
      <c r="G48" s="101"/>
      <c r="H48" s="101"/>
      <c r="I48" s="101"/>
      <c r="J48" s="5"/>
    </row>
    <row r="49" spans="1:12" ht="15" x14ac:dyDescent="0.35">
      <c r="A49" s="5"/>
      <c r="B49" s="101"/>
      <c r="C49" s="101"/>
      <c r="D49" s="101"/>
      <c r="E49" s="101"/>
      <c r="F49" s="101"/>
      <c r="G49" s="101"/>
      <c r="H49" s="101"/>
      <c r="I49" s="101"/>
      <c r="K49" s="3"/>
    </row>
    <row r="50" spans="1:12" ht="15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</row>
    <row r="51" spans="1:12" ht="46.9" customHeight="1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49" t="str">
        <f>G36</f>
        <v>Kasım Arslan</v>
      </c>
      <c r="H51" s="49"/>
      <c r="I51" s="49"/>
      <c r="J51" s="49"/>
      <c r="K51" s="49"/>
    </row>
    <row r="52" spans="1:12" ht="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2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>
        <f>G38</f>
        <v>0</v>
      </c>
      <c r="H53" s="129"/>
      <c r="I53" s="129"/>
      <c r="J53" s="5"/>
    </row>
    <row r="54" spans="1:12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</row>
    <row r="55" spans="1:12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</row>
    <row r="56" spans="1:12" ht="15" x14ac:dyDescent="0.35">
      <c r="A56" s="5"/>
      <c r="F56" s="5"/>
      <c r="J56" s="5"/>
    </row>
    <row r="57" spans="1:12" ht="15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2" ht="15" x14ac:dyDescent="0.35">
      <c r="A58" s="5"/>
      <c r="B58" s="101" t="str">
        <f>B46</f>
        <v>PLEKSİ KÖŞE KABİN</v>
      </c>
      <c r="C58" s="101"/>
      <c r="D58" s="101">
        <f>B7</f>
        <v>182</v>
      </c>
      <c r="E58" s="118" t="str">
        <f>B8&amp;" x "&amp;B9</f>
        <v>78 x 80</v>
      </c>
      <c r="F58" s="101" t="str">
        <f>F30</f>
        <v>Parlak profil damla desen</v>
      </c>
      <c r="G58" s="101"/>
      <c r="H58" s="101"/>
      <c r="I58" s="128">
        <f>I30</f>
        <v>2700</v>
      </c>
      <c r="J58" s="5"/>
      <c r="K58" s="5"/>
    </row>
    <row r="59" spans="1:12" ht="15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2" ht="15" x14ac:dyDescent="0.35">
      <c r="A60" s="5"/>
      <c r="B60" s="101"/>
      <c r="C60" s="101"/>
      <c r="D60" s="101"/>
      <c r="E60" s="101"/>
      <c r="F60" s="101"/>
      <c r="G60" s="101"/>
      <c r="H60" s="101"/>
      <c r="I60" s="101"/>
      <c r="J60" s="5"/>
      <c r="K60" s="5"/>
    </row>
    <row r="61" spans="1:12" ht="15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</row>
    <row r="62" spans="1:12" ht="15" x14ac:dyDescent="0.35">
      <c r="A62" s="5"/>
    </row>
    <row r="63" spans="1:12" ht="15" x14ac:dyDescent="0.35">
      <c r="A63" s="5"/>
      <c r="L63" s="5"/>
    </row>
    <row r="64" spans="1:12" ht="15" x14ac:dyDescent="0.35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5"/>
    </row>
    <row r="65" spans="1:12" ht="15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2" ht="15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2" ht="15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2" ht="1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2" ht="15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2" ht="15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2" ht="15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2" ht="15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</row>
  </sheetData>
  <mergeCells count="53">
    <mergeCell ref="B53:E55"/>
    <mergeCell ref="H55:I55"/>
    <mergeCell ref="I48:I49"/>
    <mergeCell ref="I60:I61"/>
    <mergeCell ref="B51:E51"/>
    <mergeCell ref="B57:C57"/>
    <mergeCell ref="F57:H57"/>
    <mergeCell ref="B58:C59"/>
    <mergeCell ref="D58:D59"/>
    <mergeCell ref="E58:E59"/>
    <mergeCell ref="F58:H59"/>
    <mergeCell ref="I58:I59"/>
    <mergeCell ref="B60:C61"/>
    <mergeCell ref="D60:D61"/>
    <mergeCell ref="E60:E61"/>
    <mergeCell ref="F60:H61"/>
    <mergeCell ref="F30:H31"/>
    <mergeCell ref="I30:I31"/>
    <mergeCell ref="G38:I38"/>
    <mergeCell ref="I46:I47"/>
    <mergeCell ref="G53:I53"/>
    <mergeCell ref="B36:E38"/>
    <mergeCell ref="B45:C45"/>
    <mergeCell ref="F45:H45"/>
    <mergeCell ref="B46:C47"/>
    <mergeCell ref="D46:D47"/>
    <mergeCell ref="E46:E47"/>
    <mergeCell ref="F46:H47"/>
    <mergeCell ref="H41:I41"/>
    <mergeCell ref="I21:I24"/>
    <mergeCell ref="F29:G29"/>
    <mergeCell ref="E48:E49"/>
    <mergeCell ref="D48:D49"/>
    <mergeCell ref="A21:A24"/>
    <mergeCell ref="B21:B24"/>
    <mergeCell ref="C21:C24"/>
    <mergeCell ref="D21:D24"/>
    <mergeCell ref="F21:F24"/>
    <mergeCell ref="E21:E24"/>
    <mergeCell ref="G36:J36"/>
    <mergeCell ref="B48:C49"/>
    <mergeCell ref="F48:H49"/>
    <mergeCell ref="G21:G24"/>
    <mergeCell ref="H21:H24"/>
    <mergeCell ref="B41:E43"/>
    <mergeCell ref="D1:F1"/>
    <mergeCell ref="G1:I1"/>
    <mergeCell ref="D2:F2"/>
    <mergeCell ref="G2:I2"/>
    <mergeCell ref="B14:C14"/>
    <mergeCell ref="I8:I11"/>
    <mergeCell ref="B2:C2"/>
    <mergeCell ref="E5:G17"/>
  </mergeCells>
  <dataValidations disablePrompts="1" count="1">
    <dataValidation type="list" allowBlank="1" showInputMessage="1" showErrorMessage="1" sqref="B5" xr:uid="{70B8CFC6-3F20-474E-8A85-24427D1DFB18}">
      <formula1>renk</formula1>
    </dataValidation>
  </dataValidations>
  <pageMargins left="0.25" right="0.25" top="0.75" bottom="0.75" header="0.3" footer="0.3"/>
  <pageSetup paperSize="9" scale="74" orientation="portrait" horizont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>
    <pageSetUpPr fitToPage="1"/>
  </sheetPr>
  <dimension ref="A1:K62"/>
  <sheetViews>
    <sheetView workbookViewId="0">
      <selection activeCell="A20" sqref="A20"/>
    </sheetView>
  </sheetViews>
  <sheetFormatPr defaultColWidth="9" defaultRowHeight="14.5" x14ac:dyDescent="0.25"/>
  <cols>
    <col min="1" max="1" width="11.08984375" style="18" customWidth="1"/>
    <col min="2" max="2" width="11.7265625" style="18" customWidth="1"/>
    <col min="3" max="3" width="13.7265625" style="18" customWidth="1"/>
    <col min="4" max="4" width="13.26953125" style="18" customWidth="1"/>
    <col min="5" max="5" width="11.7265625" style="18" customWidth="1"/>
    <col min="6" max="6" width="12.7265625" style="18" customWidth="1"/>
    <col min="7" max="7" width="13" style="18" customWidth="1"/>
    <col min="8" max="8" width="14" style="18" customWidth="1"/>
    <col min="9" max="9" width="11.453125" style="18" customWidth="1"/>
    <col min="10" max="10" width="13" style="18" customWidth="1"/>
    <col min="11" max="11" width="12.08984375" style="18" customWidth="1"/>
    <col min="12" max="16384" width="9" style="18"/>
  </cols>
  <sheetData>
    <row r="1" spans="1:10" x14ac:dyDescent="0.25">
      <c r="D1" s="131" t="s">
        <v>0</v>
      </c>
      <c r="E1" s="132"/>
      <c r="F1" s="132"/>
      <c r="G1" s="131" t="s">
        <v>1</v>
      </c>
      <c r="H1" s="131"/>
      <c r="I1" s="131"/>
    </row>
    <row r="2" spans="1:10" ht="16" x14ac:dyDescent="0.4">
      <c r="A2" s="21" t="s">
        <v>2</v>
      </c>
      <c r="B2" s="87">
        <f ca="1">TODAY()</f>
        <v>46006</v>
      </c>
      <c r="C2" s="88"/>
      <c r="D2" s="86" t="s">
        <v>3</v>
      </c>
      <c r="E2" s="86"/>
      <c r="F2" s="86"/>
      <c r="G2" s="86"/>
      <c r="H2" s="86"/>
      <c r="I2" s="86"/>
    </row>
    <row r="5" spans="1:10" ht="13.9" customHeight="1" x14ac:dyDescent="0.25">
      <c r="A5" s="26" t="s">
        <v>4</v>
      </c>
      <c r="B5" s="25" t="s">
        <v>5</v>
      </c>
      <c r="D5" s="4"/>
      <c r="E5" s="134" t="e" vm="11">
        <v>#VALUE!</v>
      </c>
      <c r="F5" s="135"/>
      <c r="G5" s="136"/>
      <c r="H5" s="4"/>
      <c r="I5" s="4"/>
    </row>
    <row r="6" spans="1:10" x14ac:dyDescent="0.25">
      <c r="A6" s="26" t="s">
        <v>6</v>
      </c>
      <c r="B6" s="25" t="s">
        <v>7</v>
      </c>
      <c r="D6" s="4"/>
      <c r="E6" s="137"/>
      <c r="F6" s="138"/>
      <c r="G6" s="139"/>
      <c r="H6" s="4"/>
    </row>
    <row r="7" spans="1:10" x14ac:dyDescent="0.25">
      <c r="A7" s="26" t="s">
        <v>8</v>
      </c>
      <c r="B7" s="25">
        <v>182</v>
      </c>
      <c r="D7" s="4"/>
      <c r="E7" s="137"/>
      <c r="F7" s="138"/>
      <c r="G7" s="139"/>
      <c r="H7" s="4"/>
      <c r="I7" s="27" t="s">
        <v>9</v>
      </c>
    </row>
    <row r="8" spans="1:10" ht="13.9" customHeight="1" x14ac:dyDescent="0.25">
      <c r="A8" s="26" t="s">
        <v>10</v>
      </c>
      <c r="B8" s="25">
        <v>80</v>
      </c>
      <c r="D8" s="4"/>
      <c r="E8" s="137"/>
      <c r="F8" s="138"/>
      <c r="G8" s="139"/>
      <c r="H8" s="4"/>
      <c r="I8" s="86" t="e" vm="2">
        <v>#VALUE!</v>
      </c>
    </row>
    <row r="9" spans="1:10" x14ac:dyDescent="0.25">
      <c r="A9" s="26" t="s">
        <v>11</v>
      </c>
      <c r="B9" s="25">
        <v>80</v>
      </c>
      <c r="D9" s="4"/>
      <c r="E9" s="137"/>
      <c r="F9" s="138"/>
      <c r="G9" s="139"/>
      <c r="H9" s="4"/>
      <c r="I9" s="86"/>
    </row>
    <row r="10" spans="1:10" x14ac:dyDescent="0.25">
      <c r="A10" s="28" t="s">
        <v>34</v>
      </c>
      <c r="B10" s="29">
        <f>B8+B9-34</f>
        <v>126</v>
      </c>
      <c r="D10" s="4"/>
      <c r="E10" s="137"/>
      <c r="F10" s="138"/>
      <c r="G10" s="139"/>
      <c r="H10" s="4"/>
      <c r="I10" s="86"/>
    </row>
    <row r="11" spans="1:10" x14ac:dyDescent="0.25">
      <c r="D11" s="4"/>
      <c r="E11" s="137"/>
      <c r="F11" s="138"/>
      <c r="G11" s="139"/>
      <c r="H11" s="4"/>
      <c r="I11" s="86"/>
    </row>
    <row r="12" spans="1:10" x14ac:dyDescent="0.25">
      <c r="D12" s="4"/>
      <c r="E12" s="137"/>
      <c r="F12" s="138"/>
      <c r="G12" s="139"/>
      <c r="H12" s="4"/>
      <c r="I12" s="30">
        <f>B8+B9-34</f>
        <v>126</v>
      </c>
    </row>
    <row r="13" spans="1:10" x14ac:dyDescent="0.25">
      <c r="D13" s="4"/>
      <c r="E13" s="137"/>
      <c r="F13" s="138"/>
      <c r="G13" s="139"/>
      <c r="H13" s="4"/>
      <c r="I13" s="31" t="s">
        <v>12</v>
      </c>
      <c r="J13" s="4"/>
    </row>
    <row r="14" spans="1:10" ht="16" x14ac:dyDescent="0.25">
      <c r="B14" s="133" t="s">
        <v>35</v>
      </c>
      <c r="C14" s="133"/>
      <c r="D14" s="4"/>
      <c r="E14" s="137"/>
      <c r="F14" s="138"/>
      <c r="G14" s="139"/>
      <c r="H14" s="4"/>
      <c r="I14" s="4"/>
    </row>
    <row r="15" spans="1:10" x14ac:dyDescent="0.25">
      <c r="D15" s="4"/>
      <c r="E15" s="137"/>
      <c r="F15" s="138"/>
      <c r="G15" s="139"/>
      <c r="H15" s="4"/>
      <c r="I15" s="4"/>
    </row>
    <row r="16" spans="1:10" x14ac:dyDescent="0.25">
      <c r="D16" s="4"/>
      <c r="E16" s="137"/>
      <c r="F16" s="138"/>
      <c r="G16" s="139"/>
      <c r="H16" s="4"/>
      <c r="I16" s="4"/>
    </row>
    <row r="17" spans="1:11" x14ac:dyDescent="0.25">
      <c r="E17" s="140"/>
      <c r="F17" s="141"/>
      <c r="G17" s="142"/>
    </row>
    <row r="20" spans="1:11" ht="16" x14ac:dyDescent="0.25">
      <c r="A20" s="33" t="s">
        <v>14</v>
      </c>
      <c r="B20" s="33" t="s">
        <v>15</v>
      </c>
      <c r="C20" s="33" t="s">
        <v>14</v>
      </c>
      <c r="D20" s="33" t="s">
        <v>15</v>
      </c>
      <c r="E20" s="33" t="s">
        <v>16</v>
      </c>
      <c r="F20" s="33" t="s">
        <v>17</v>
      </c>
      <c r="G20" s="33" t="s">
        <v>18</v>
      </c>
      <c r="H20" s="33" t="s">
        <v>19</v>
      </c>
      <c r="I20" s="34" t="s">
        <v>20</v>
      </c>
      <c r="J20" s="35"/>
      <c r="K20" s="35"/>
    </row>
    <row r="21" spans="1:11" x14ac:dyDescent="0.25">
      <c r="A21" s="86" t="e" vm="3">
        <v>#VALUE!</v>
      </c>
      <c r="B21" s="86" t="e" vm="4">
        <v>#VALUE!</v>
      </c>
      <c r="C21" s="86" t="e" vm="3">
        <v>#VALUE!</v>
      </c>
      <c r="D21" s="86" t="e" vm="4">
        <v>#VALUE!</v>
      </c>
      <c r="E21" s="144" t="e" vm="5">
        <v>#VALUE!</v>
      </c>
      <c r="F21" s="86" t="e" vm="6">
        <v>#VALUE!</v>
      </c>
      <c r="G21" s="86" t="e" vm="7">
        <v>#VALUE!</v>
      </c>
      <c r="H21" s="86" t="e" vm="8">
        <v>#VALUE!</v>
      </c>
      <c r="I21" s="143" t="e" vm="9">
        <v>#VALUE!</v>
      </c>
    </row>
    <row r="22" spans="1:11" x14ac:dyDescent="0.25">
      <c r="A22" s="86"/>
      <c r="B22" s="86"/>
      <c r="C22" s="86"/>
      <c r="D22" s="86"/>
      <c r="E22" s="144"/>
      <c r="F22" s="86"/>
      <c r="G22" s="86"/>
      <c r="H22" s="86"/>
      <c r="I22" s="143"/>
    </row>
    <row r="23" spans="1:11" x14ac:dyDescent="0.25">
      <c r="A23" s="86"/>
      <c r="B23" s="86"/>
      <c r="C23" s="86"/>
      <c r="D23" s="86"/>
      <c r="E23" s="144"/>
      <c r="F23" s="86"/>
      <c r="G23" s="86"/>
      <c r="H23" s="86"/>
      <c r="I23" s="143"/>
    </row>
    <row r="24" spans="1:11" x14ac:dyDescent="0.25">
      <c r="A24" s="86"/>
      <c r="B24" s="86"/>
      <c r="C24" s="86"/>
      <c r="D24" s="86"/>
      <c r="E24" s="144"/>
      <c r="F24" s="86"/>
      <c r="G24" s="86"/>
      <c r="H24" s="86"/>
      <c r="I24" s="143"/>
    </row>
    <row r="25" spans="1:11" x14ac:dyDescent="0.25">
      <c r="A25" s="16">
        <f>(B8/2)-11</f>
        <v>29</v>
      </c>
      <c r="B25" s="16">
        <f>((B8/2)-13)/2</f>
        <v>13.5</v>
      </c>
      <c r="C25" s="16">
        <f>(B9/2)-11</f>
        <v>29</v>
      </c>
      <c r="D25" s="16">
        <f>((B9/2)-13)/2</f>
        <v>13.5</v>
      </c>
      <c r="E25" s="16">
        <f>(B7-5.8)</f>
        <v>176.2</v>
      </c>
      <c r="F25" s="16">
        <f>(B7-5.8)</f>
        <v>176.2</v>
      </c>
      <c r="G25" s="16">
        <f>(B7-12.5)</f>
        <v>169.5</v>
      </c>
      <c r="H25" s="16">
        <f>B7</f>
        <v>182</v>
      </c>
      <c r="I25" s="17">
        <f>B7</f>
        <v>182</v>
      </c>
    </row>
    <row r="26" spans="1:11" x14ac:dyDescent="0.25">
      <c r="A26" s="16" t="s">
        <v>12</v>
      </c>
      <c r="B26" s="16" t="s">
        <v>36</v>
      </c>
      <c r="C26" s="16" t="s">
        <v>12</v>
      </c>
      <c r="D26" s="16" t="s">
        <v>36</v>
      </c>
      <c r="E26" s="16" t="s">
        <v>12</v>
      </c>
      <c r="F26" s="16" t="s">
        <v>12</v>
      </c>
      <c r="G26" s="16" t="s">
        <v>12</v>
      </c>
      <c r="H26" s="16" t="s">
        <v>12</v>
      </c>
      <c r="I26" s="17" t="s">
        <v>12</v>
      </c>
    </row>
    <row r="29" spans="1:11" x14ac:dyDescent="0.25">
      <c r="F29" s="99" t="s">
        <v>21</v>
      </c>
      <c r="G29" s="100"/>
      <c r="H29" s="4"/>
      <c r="I29" s="46" t="s">
        <v>32</v>
      </c>
    </row>
    <row r="30" spans="1:11" x14ac:dyDescent="0.25">
      <c r="A30" s="36" t="s">
        <v>22</v>
      </c>
      <c r="B30" s="16">
        <f>(B7-11.5)</f>
        <v>170.5</v>
      </c>
      <c r="C30" s="16">
        <f>(B8/2)-10</f>
        <v>30</v>
      </c>
      <c r="D30" s="16" t="s">
        <v>23</v>
      </c>
      <c r="F30" s="119" t="s">
        <v>95</v>
      </c>
      <c r="G30" s="120"/>
      <c r="H30" s="121"/>
      <c r="I30" s="125">
        <v>3000</v>
      </c>
    </row>
    <row r="31" spans="1:11" x14ac:dyDescent="0.25">
      <c r="A31" s="36" t="s">
        <v>24</v>
      </c>
      <c r="B31" s="16">
        <f>(B7-11.5)</f>
        <v>170.5</v>
      </c>
      <c r="C31" s="16">
        <f>((B8/2)-11)/2</f>
        <v>14.5</v>
      </c>
      <c r="D31" s="16" t="s">
        <v>12</v>
      </c>
      <c r="F31" s="122"/>
      <c r="G31" s="123"/>
      <c r="H31" s="124"/>
      <c r="I31" s="126"/>
    </row>
    <row r="32" spans="1:11" x14ac:dyDescent="0.25">
      <c r="A32" s="36" t="s">
        <v>22</v>
      </c>
      <c r="B32" s="16">
        <f>(B7-11.5)</f>
        <v>170.5</v>
      </c>
      <c r="C32" s="16">
        <f>(B9/2)-10</f>
        <v>30</v>
      </c>
      <c r="D32" s="16" t="s">
        <v>23</v>
      </c>
    </row>
    <row r="33" spans="1:11" x14ac:dyDescent="0.25">
      <c r="A33" s="36" t="s">
        <v>24</v>
      </c>
      <c r="B33" s="16">
        <f>(B7-11.5)</f>
        <v>170.5</v>
      </c>
      <c r="C33" s="16">
        <f>((B9/2)-11)/2</f>
        <v>14.5</v>
      </c>
      <c r="D33" s="16" t="s">
        <v>12</v>
      </c>
    </row>
    <row r="34" spans="1:11" ht="1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/>
    </row>
    <row r="35" spans="1:11" ht="28.5" x14ac:dyDescent="0.35">
      <c r="A35" s="5"/>
      <c r="B35" s="5"/>
      <c r="C35" s="5"/>
      <c r="D35" s="5"/>
      <c r="E35" s="5"/>
      <c r="F35" s="20"/>
      <c r="G35" s="50"/>
      <c r="H35" s="50"/>
      <c r="I35" s="50"/>
      <c r="J35" s="50"/>
      <c r="K35" s="50"/>
    </row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>Kasım Arslan</v>
      </c>
      <c r="H36" s="103"/>
      <c r="I36" s="103"/>
      <c r="J36" s="103"/>
      <c r="K36" s="50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  <c r="K37"/>
    </row>
    <row r="38" spans="1:11" ht="18.5" x14ac:dyDescent="0.45">
      <c r="A38" s="5"/>
      <c r="B38" s="93"/>
      <c r="C38" s="93"/>
      <c r="D38" s="93"/>
      <c r="E38" s="93"/>
      <c r="F38" s="23" t="s">
        <v>27</v>
      </c>
      <c r="G38" s="127">
        <f>G2</f>
        <v>0</v>
      </c>
      <c r="H38" s="127"/>
      <c r="I38" s="127"/>
      <c r="J38" s="5"/>
      <c r="K38"/>
    </row>
    <row r="39" spans="1:11" ht="2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  <c r="K39"/>
    </row>
    <row r="40" spans="1:11" ht="15.65" customHeight="1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  <c r="K40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  <c r="K41"/>
    </row>
    <row r="42" spans="1:11" ht="14.5" customHeight="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 s="5"/>
    </row>
    <row r="46" spans="1:11" ht="15" x14ac:dyDescent="0.35">
      <c r="A46" s="5"/>
      <c r="B46" s="101" t="str">
        <f>B14</f>
        <v>PLEKSİ OVAL KABİN</v>
      </c>
      <c r="C46" s="101"/>
      <c r="D46" s="101">
        <f>B7</f>
        <v>182</v>
      </c>
      <c r="E46" s="118" t="str">
        <f>B8&amp;" x "&amp;B9</f>
        <v>80 x 80</v>
      </c>
      <c r="F46" s="101" t="str">
        <f>F30</f>
        <v>parlak</v>
      </c>
      <c r="G46" s="101"/>
      <c r="H46" s="101"/>
      <c r="I46" s="128">
        <f>I30</f>
        <v>3000</v>
      </c>
      <c r="J46" s="5"/>
      <c r="K46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  <c r="K47"/>
    </row>
    <row r="48" spans="1:11" ht="15" x14ac:dyDescent="0.35">
      <c r="A48" s="5"/>
      <c r="B48" s="101"/>
      <c r="C48" s="101"/>
      <c r="D48" s="101"/>
      <c r="E48" s="101"/>
      <c r="F48" s="101"/>
      <c r="G48" s="101"/>
      <c r="H48" s="101"/>
      <c r="I48" s="101"/>
      <c r="J48" s="5"/>
      <c r="K48"/>
    </row>
    <row r="49" spans="1:11" ht="15" x14ac:dyDescent="0.35">
      <c r="A49" s="5"/>
      <c r="B49" s="101"/>
      <c r="C49" s="101"/>
      <c r="D49" s="101"/>
      <c r="E49" s="101"/>
      <c r="F49" s="101"/>
      <c r="G49" s="101"/>
      <c r="H49" s="101"/>
      <c r="I49" s="101"/>
      <c r="J49"/>
      <c r="K49" s="3"/>
    </row>
    <row r="50" spans="1:11" ht="15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  <c r="K50"/>
    </row>
    <row r="51" spans="1:11" ht="47.5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130" t="str">
        <f>G36</f>
        <v>Kasım Arslan</v>
      </c>
      <c r="H51" s="130"/>
      <c r="I51" s="130"/>
      <c r="J51" s="130"/>
      <c r="K51" s="49"/>
    </row>
    <row r="52" spans="1:11" ht="18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/>
    </row>
    <row r="53" spans="1:11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>
        <f>G38</f>
        <v>0</v>
      </c>
      <c r="H53" s="129"/>
      <c r="I53" s="129"/>
      <c r="J53" s="5"/>
      <c r="K53"/>
    </row>
    <row r="54" spans="1:11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  <c r="K54"/>
    </row>
    <row r="55" spans="1:11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  <c r="K55"/>
    </row>
    <row r="56" spans="1:11" ht="15" x14ac:dyDescent="0.35">
      <c r="A56" s="5"/>
      <c r="B56"/>
      <c r="C56"/>
      <c r="D56"/>
      <c r="E56"/>
      <c r="F56" s="5"/>
      <c r="G56"/>
      <c r="H56"/>
      <c r="I56"/>
      <c r="J56" s="5"/>
      <c r="K56"/>
    </row>
    <row r="57" spans="1:11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1" x14ac:dyDescent="0.35">
      <c r="A58" s="5"/>
      <c r="B58" s="101" t="str">
        <f>B46</f>
        <v>PLEKSİ OVAL KABİN</v>
      </c>
      <c r="C58" s="101"/>
      <c r="D58" s="101">
        <f>B7</f>
        <v>182</v>
      </c>
      <c r="E58" s="118" t="str">
        <f>B8&amp;" x "&amp;B9</f>
        <v>80 x 80</v>
      </c>
      <c r="F58" s="101" t="str">
        <f>F30</f>
        <v>parlak</v>
      </c>
      <c r="G58" s="101"/>
      <c r="H58" s="101"/>
      <c r="I58" s="128">
        <f>I30</f>
        <v>3000</v>
      </c>
      <c r="J58" s="5"/>
      <c r="K58" s="5"/>
    </row>
    <row r="59" spans="1:11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1" x14ac:dyDescent="0.35">
      <c r="A60" s="5"/>
      <c r="B60" s="101"/>
      <c r="C60" s="101"/>
      <c r="D60" s="101"/>
      <c r="E60" s="101"/>
      <c r="F60" s="101"/>
      <c r="G60" s="101"/>
      <c r="H60" s="101"/>
      <c r="I60" s="101"/>
      <c r="J60" s="5"/>
      <c r="K60" s="5"/>
    </row>
    <row r="61" spans="1:11" ht="15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  <c r="K61"/>
    </row>
    <row r="62" spans="1:11" ht="15" x14ac:dyDescent="0.35">
      <c r="A62" s="5"/>
      <c r="B62"/>
      <c r="C62"/>
      <c r="D62"/>
      <c r="E62"/>
      <c r="F62"/>
      <c r="G62"/>
      <c r="H62"/>
      <c r="I62"/>
      <c r="J62"/>
      <c r="K62"/>
    </row>
  </sheetData>
  <mergeCells count="54">
    <mergeCell ref="I58:I59"/>
    <mergeCell ref="I30:I31"/>
    <mergeCell ref="E5:G17"/>
    <mergeCell ref="I21:I24"/>
    <mergeCell ref="A21:A24"/>
    <mergeCell ref="B21:B24"/>
    <mergeCell ref="C21:C24"/>
    <mergeCell ref="D21:D24"/>
    <mergeCell ref="F21:F24"/>
    <mergeCell ref="E21:E24"/>
    <mergeCell ref="B45:C45"/>
    <mergeCell ref="F45:H45"/>
    <mergeCell ref="F29:G29"/>
    <mergeCell ref="G21:G24"/>
    <mergeCell ref="H21:H24"/>
    <mergeCell ref="F30:H31"/>
    <mergeCell ref="D1:F1"/>
    <mergeCell ref="G1:I1"/>
    <mergeCell ref="D2:F2"/>
    <mergeCell ref="G2:I2"/>
    <mergeCell ref="B14:C14"/>
    <mergeCell ref="I8:I11"/>
    <mergeCell ref="B2:C2"/>
    <mergeCell ref="B48:C49"/>
    <mergeCell ref="D48:D49"/>
    <mergeCell ref="E48:E49"/>
    <mergeCell ref="F48:H49"/>
    <mergeCell ref="I48:I49"/>
    <mergeCell ref="B46:C47"/>
    <mergeCell ref="D46:D47"/>
    <mergeCell ref="E46:E47"/>
    <mergeCell ref="F46:H47"/>
    <mergeCell ref="I46:I47"/>
    <mergeCell ref="B51:E51"/>
    <mergeCell ref="B53:E55"/>
    <mergeCell ref="G53:I53"/>
    <mergeCell ref="H55:I55"/>
    <mergeCell ref="G51:J51"/>
    <mergeCell ref="B57:C57"/>
    <mergeCell ref="F57:H57"/>
    <mergeCell ref="B58:C59"/>
    <mergeCell ref="D58:D59"/>
    <mergeCell ref="E58:E59"/>
    <mergeCell ref="F58:H59"/>
    <mergeCell ref="B36:E38"/>
    <mergeCell ref="G38:I38"/>
    <mergeCell ref="B41:E43"/>
    <mergeCell ref="H41:I41"/>
    <mergeCell ref="G36:J36"/>
    <mergeCell ref="B60:C61"/>
    <mergeCell ref="D60:D61"/>
    <mergeCell ref="E60:E61"/>
    <mergeCell ref="F60:H61"/>
    <mergeCell ref="I60:I61"/>
  </mergeCells>
  <dataValidations disablePrompts="1" count="1">
    <dataValidation type="list" allowBlank="1" showInputMessage="1" showErrorMessage="1" sqref="B5" xr:uid="{9DA59281-C5B1-44A2-A1D5-66E3DCED6F85}">
      <formula1>renk</formula1>
    </dataValidation>
  </dataValidations>
  <pageMargins left="0.25" right="0.25" top="0.75" bottom="0.75" header="0.3" footer="0.3"/>
  <pageSetup paperSize="9" scale="8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4">
    <pageSetUpPr fitToPage="1"/>
  </sheetPr>
  <dimension ref="A1:K61"/>
  <sheetViews>
    <sheetView topLeftCell="A6" workbookViewId="0">
      <selection activeCell="K19" sqref="K19"/>
    </sheetView>
  </sheetViews>
  <sheetFormatPr defaultColWidth="9" defaultRowHeight="14.5" x14ac:dyDescent="0.25"/>
  <cols>
    <col min="1" max="1" width="11.08984375" style="4" customWidth="1"/>
    <col min="2" max="2" width="11.7265625" style="4" customWidth="1"/>
    <col min="3" max="3" width="13.7265625" style="4" customWidth="1"/>
    <col min="4" max="4" width="13.26953125" style="4" customWidth="1"/>
    <col min="5" max="5" width="11.7265625" style="4" customWidth="1"/>
    <col min="6" max="6" width="12.7265625" style="4" customWidth="1"/>
    <col min="7" max="7" width="13" style="4" customWidth="1"/>
    <col min="8" max="9" width="14" style="4" customWidth="1"/>
    <col min="10" max="10" width="13" style="4" customWidth="1"/>
    <col min="11" max="11" width="12.08984375" style="4" customWidth="1"/>
    <col min="12" max="16384" width="9" style="4"/>
  </cols>
  <sheetData>
    <row r="1" spans="1:9" x14ac:dyDescent="0.25">
      <c r="D1" s="131" t="s">
        <v>0</v>
      </c>
      <c r="E1" s="132"/>
      <c r="F1" s="132"/>
      <c r="G1" s="131" t="s">
        <v>1</v>
      </c>
      <c r="H1" s="131"/>
      <c r="I1" s="131"/>
    </row>
    <row r="2" spans="1:9" ht="16" x14ac:dyDescent="0.4">
      <c r="A2" s="21" t="s">
        <v>2</v>
      </c>
      <c r="B2" s="87">
        <f ca="1">TODAY()</f>
        <v>46006</v>
      </c>
      <c r="C2" s="88"/>
      <c r="D2" s="145" t="s">
        <v>113</v>
      </c>
      <c r="E2" s="86"/>
      <c r="F2" s="86"/>
      <c r="G2" s="86"/>
      <c r="H2" s="86"/>
      <c r="I2" s="86"/>
    </row>
    <row r="5" spans="1:9" x14ac:dyDescent="0.25">
      <c r="A5" s="26" t="s">
        <v>4</v>
      </c>
      <c r="B5" s="25" t="s">
        <v>33</v>
      </c>
      <c r="E5" s="134" t="e" vm="12">
        <v>#VALUE!</v>
      </c>
      <c r="F5" s="135"/>
      <c r="G5" s="136"/>
    </row>
    <row r="6" spans="1:9" x14ac:dyDescent="0.25">
      <c r="A6" s="26" t="s">
        <v>6</v>
      </c>
      <c r="B6" s="25" t="s">
        <v>7</v>
      </c>
      <c r="E6" s="137"/>
      <c r="F6" s="138"/>
      <c r="G6" s="139"/>
    </row>
    <row r="7" spans="1:9" x14ac:dyDescent="0.25">
      <c r="A7" s="26" t="s">
        <v>8</v>
      </c>
      <c r="B7" s="25">
        <v>182</v>
      </c>
      <c r="E7" s="137"/>
      <c r="F7" s="138"/>
      <c r="G7" s="139"/>
      <c r="I7" s="27" t="s">
        <v>9</v>
      </c>
    </row>
    <row r="8" spans="1:9" ht="13.9" customHeight="1" x14ac:dyDescent="0.25">
      <c r="A8" s="37" t="s">
        <v>10</v>
      </c>
      <c r="B8" s="38">
        <v>100</v>
      </c>
      <c r="E8" s="137"/>
      <c r="F8" s="138"/>
      <c r="G8" s="139"/>
      <c r="I8" s="86" t="e" vm="2">
        <v>#VALUE!</v>
      </c>
    </row>
    <row r="9" spans="1:9" x14ac:dyDescent="0.25">
      <c r="E9" s="137"/>
      <c r="F9" s="138"/>
      <c r="G9" s="139"/>
      <c r="I9" s="86"/>
    </row>
    <row r="10" spans="1:9" x14ac:dyDescent="0.25">
      <c r="E10" s="137"/>
      <c r="F10" s="138"/>
      <c r="G10" s="139"/>
      <c r="I10" s="86"/>
    </row>
    <row r="11" spans="1:9" x14ac:dyDescent="0.25">
      <c r="E11" s="137"/>
      <c r="F11" s="138"/>
      <c r="G11" s="139"/>
      <c r="I11" s="86"/>
    </row>
    <row r="12" spans="1:9" x14ac:dyDescent="0.25">
      <c r="E12" s="137"/>
      <c r="F12" s="138"/>
      <c r="G12" s="139"/>
      <c r="I12" s="39">
        <f>(B8-6)</f>
        <v>94</v>
      </c>
    </row>
    <row r="13" spans="1:9" x14ac:dyDescent="0.25">
      <c r="E13" s="137"/>
      <c r="F13" s="138"/>
      <c r="G13" s="139"/>
      <c r="I13" s="24" t="s">
        <v>12</v>
      </c>
    </row>
    <row r="14" spans="1:9" ht="16" x14ac:dyDescent="0.25">
      <c r="B14" s="133" t="s">
        <v>38</v>
      </c>
      <c r="C14" s="133"/>
      <c r="E14" s="137"/>
      <c r="F14" s="138"/>
      <c r="G14" s="139"/>
    </row>
    <row r="15" spans="1:9" x14ac:dyDescent="0.25">
      <c r="E15" s="137"/>
      <c r="F15" s="138"/>
      <c r="G15" s="139"/>
    </row>
    <row r="16" spans="1:9" x14ac:dyDescent="0.25">
      <c r="E16" s="137"/>
      <c r="F16" s="138"/>
      <c r="G16" s="139"/>
    </row>
    <row r="17" spans="1:11" x14ac:dyDescent="0.25">
      <c r="E17" s="140"/>
      <c r="F17" s="141"/>
      <c r="G17" s="142"/>
    </row>
    <row r="20" spans="1:11" ht="16" x14ac:dyDescent="0.25">
      <c r="B20" s="33" t="s">
        <v>14</v>
      </c>
      <c r="C20" s="33" t="s">
        <v>15</v>
      </c>
      <c r="D20" s="33" t="s">
        <v>16</v>
      </c>
      <c r="E20" s="33" t="s">
        <v>17</v>
      </c>
      <c r="F20" s="33" t="s">
        <v>18</v>
      </c>
      <c r="G20" s="33" t="s">
        <v>19</v>
      </c>
      <c r="H20" s="34" t="s">
        <v>20</v>
      </c>
      <c r="I20" s="34" t="s">
        <v>39</v>
      </c>
      <c r="J20" s="32"/>
      <c r="K20" s="32"/>
    </row>
    <row r="21" spans="1:11" x14ac:dyDescent="0.25">
      <c r="B21" s="86" t="e" vm="3">
        <v>#VALUE!</v>
      </c>
      <c r="C21" s="86" t="e" vm="4">
        <v>#VALUE!</v>
      </c>
      <c r="D21" s="86" t="e" vm="13">
        <v>#VALUE!</v>
      </c>
      <c r="E21" s="86" t="e" vm="6">
        <v>#VALUE!</v>
      </c>
      <c r="F21" s="86" t="e" vm="7">
        <v>#VALUE!</v>
      </c>
      <c r="G21" s="86" t="e" vm="8">
        <v>#VALUE!</v>
      </c>
      <c r="H21" s="143" t="e" vm="9">
        <v>#VALUE!</v>
      </c>
      <c r="I21" s="143" t="e" vm="14">
        <v>#VALUE!</v>
      </c>
    </row>
    <row r="22" spans="1:11" x14ac:dyDescent="0.25">
      <c r="B22" s="86"/>
      <c r="C22" s="86"/>
      <c r="D22" s="86"/>
      <c r="E22" s="86"/>
      <c r="F22" s="86"/>
      <c r="G22" s="86"/>
      <c r="H22" s="143"/>
      <c r="I22" s="143"/>
    </row>
    <row r="23" spans="1:11" x14ac:dyDescent="0.25">
      <c r="B23" s="86"/>
      <c r="C23" s="86"/>
      <c r="D23" s="86"/>
      <c r="E23" s="86"/>
      <c r="F23" s="86"/>
      <c r="G23" s="86"/>
      <c r="H23" s="143"/>
      <c r="I23" s="143"/>
    </row>
    <row r="24" spans="1:11" x14ac:dyDescent="0.25">
      <c r="B24" s="86"/>
      <c r="C24" s="86"/>
      <c r="D24" s="86"/>
      <c r="E24" s="86"/>
      <c r="F24" s="86"/>
      <c r="G24" s="86"/>
      <c r="H24" s="143"/>
      <c r="I24" s="143"/>
    </row>
    <row r="25" spans="1:11" x14ac:dyDescent="0.25">
      <c r="B25" s="16">
        <f>(B8/2)-3.5</f>
        <v>46.5</v>
      </c>
      <c r="C25" s="16">
        <f>(B8/2)-3.5</f>
        <v>46.5</v>
      </c>
      <c r="D25" s="16">
        <f>(B7-5.8)</f>
        <v>176.2</v>
      </c>
      <c r="E25" s="16">
        <f>(B7-5.8)</f>
        <v>176.2</v>
      </c>
      <c r="F25" s="16">
        <f>(B7-12.5)</f>
        <v>169.5</v>
      </c>
      <c r="G25" s="16">
        <f>B7-0.5</f>
        <v>181.5</v>
      </c>
      <c r="H25" s="17">
        <f>B7-0.5</f>
        <v>181.5</v>
      </c>
      <c r="I25" s="17">
        <f>B7-8</f>
        <v>174</v>
      </c>
    </row>
    <row r="26" spans="1:11" x14ac:dyDescent="0.25">
      <c r="B26" s="16" t="s">
        <v>12</v>
      </c>
      <c r="C26" s="16" t="s">
        <v>12</v>
      </c>
      <c r="D26" s="16" t="s">
        <v>12</v>
      </c>
      <c r="E26" s="16" t="s">
        <v>12</v>
      </c>
      <c r="F26" s="16" t="s">
        <v>12</v>
      </c>
      <c r="G26" s="16" t="s">
        <v>12</v>
      </c>
      <c r="H26" s="17" t="s">
        <v>12</v>
      </c>
      <c r="I26" s="17" t="s">
        <v>23</v>
      </c>
    </row>
    <row r="29" spans="1:11" x14ac:dyDescent="0.25">
      <c r="F29" s="99" t="s">
        <v>21</v>
      </c>
      <c r="G29" s="100"/>
      <c r="I29" s="46" t="s">
        <v>32</v>
      </c>
    </row>
    <row r="30" spans="1:11" x14ac:dyDescent="0.25">
      <c r="A30" s="41" t="s">
        <v>22</v>
      </c>
      <c r="B30" s="24">
        <f>(B7-10.7)</f>
        <v>171.3</v>
      </c>
      <c r="C30" s="24">
        <f>(B8/2)-2.5</f>
        <v>47.5</v>
      </c>
      <c r="D30" s="24" t="s">
        <v>23</v>
      </c>
      <c r="F30" s="119" t="s">
        <v>60</v>
      </c>
      <c r="G30" s="120"/>
      <c r="H30" s="121"/>
      <c r="I30" s="125">
        <v>3000</v>
      </c>
    </row>
    <row r="31" spans="1:11" x14ac:dyDescent="0.25">
      <c r="A31" s="42" t="s">
        <v>24</v>
      </c>
      <c r="B31" s="40">
        <f>(B7-10.7)</f>
        <v>171.3</v>
      </c>
      <c r="C31" s="40">
        <f>(B8/2)-2.5</f>
        <v>47.5</v>
      </c>
      <c r="D31" s="40" t="s">
        <v>23</v>
      </c>
      <c r="F31" s="122"/>
      <c r="G31" s="123"/>
      <c r="H31" s="124"/>
      <c r="I31" s="126"/>
    </row>
    <row r="32" spans="1:11" x14ac:dyDescent="0.25">
      <c r="F32" s="18"/>
      <c r="G32" s="18"/>
      <c r="H32" s="18"/>
      <c r="I32" s="18"/>
    </row>
    <row r="33" spans="1:11" x14ac:dyDescent="0.25">
      <c r="F33" s="18"/>
      <c r="G33" s="18"/>
      <c r="H33" s="18"/>
      <c r="I33" s="18"/>
    </row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>ali osman</v>
      </c>
      <c r="H36" s="103"/>
      <c r="I36" s="103"/>
      <c r="J36" s="103"/>
      <c r="K36" s="50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  <c r="K37"/>
    </row>
    <row r="38" spans="1:11" ht="18.5" x14ac:dyDescent="0.45">
      <c r="A38" s="5"/>
      <c r="B38" s="93"/>
      <c r="C38" s="93"/>
      <c r="D38" s="93"/>
      <c r="E38" s="93"/>
      <c r="F38" s="23" t="s">
        <v>27</v>
      </c>
      <c r="G38" s="127">
        <f>G2</f>
        <v>0</v>
      </c>
      <c r="H38" s="127"/>
      <c r="I38" s="127"/>
      <c r="J38" s="5"/>
      <c r="K38"/>
    </row>
    <row r="39" spans="1:11" ht="2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  <c r="K39"/>
    </row>
    <row r="40" spans="1:11" ht="15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  <c r="K40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  <c r="K41"/>
    </row>
    <row r="42" spans="1:11" ht="14.5" customHeight="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 s="5"/>
    </row>
    <row r="46" spans="1:11" ht="15" x14ac:dyDescent="0.35">
      <c r="A46" s="5"/>
      <c r="B46" s="101" t="str">
        <f>B14</f>
        <v>PLEKSİ 1S1Ç KABİN</v>
      </c>
      <c r="C46" s="101"/>
      <c r="D46" s="101">
        <f>B7</f>
        <v>182</v>
      </c>
      <c r="E46" s="118">
        <f>B8</f>
        <v>100</v>
      </c>
      <c r="F46" s="101" t="str">
        <f>F30</f>
        <v>Parlak Profil Damla Desen Pleksi</v>
      </c>
      <c r="G46" s="101"/>
      <c r="H46" s="101"/>
      <c r="I46" s="128">
        <f>I30</f>
        <v>3000</v>
      </c>
      <c r="J46" s="5"/>
      <c r="K46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  <c r="K47"/>
    </row>
    <row r="48" spans="1:11" ht="15" x14ac:dyDescent="0.35">
      <c r="A48" s="5"/>
      <c r="B48" s="101"/>
      <c r="C48" s="101"/>
      <c r="D48" s="101"/>
      <c r="E48" s="101"/>
      <c r="F48" s="101"/>
      <c r="G48" s="101"/>
      <c r="H48" s="101"/>
      <c r="I48" s="101"/>
      <c r="J48" s="5"/>
      <c r="K48"/>
    </row>
    <row r="49" spans="1:11" ht="15" x14ac:dyDescent="0.35">
      <c r="A49" s="5"/>
      <c r="B49" s="101"/>
      <c r="C49" s="101"/>
      <c r="D49" s="101"/>
      <c r="E49" s="101"/>
      <c r="F49" s="101"/>
      <c r="G49" s="101"/>
      <c r="H49" s="101"/>
      <c r="I49" s="101"/>
      <c r="J49"/>
      <c r="K49" s="3"/>
    </row>
    <row r="50" spans="1:11" ht="15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  <c r="K50"/>
    </row>
    <row r="51" spans="1:11" ht="47.5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130" t="str">
        <f>G36</f>
        <v>ali osman</v>
      </c>
      <c r="H51" s="130"/>
      <c r="I51" s="130"/>
      <c r="J51" s="130"/>
      <c r="K51" s="49"/>
    </row>
    <row r="52" spans="1:11" ht="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/>
    </row>
    <row r="53" spans="1:11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>
        <f>G38</f>
        <v>0</v>
      </c>
      <c r="H53" s="129"/>
      <c r="I53" s="129"/>
      <c r="J53" s="5"/>
      <c r="K53"/>
    </row>
    <row r="54" spans="1:11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  <c r="K54"/>
    </row>
    <row r="55" spans="1:11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  <c r="K55"/>
    </row>
    <row r="56" spans="1:11" ht="15" x14ac:dyDescent="0.35">
      <c r="A56" s="5"/>
      <c r="B56"/>
      <c r="C56"/>
      <c r="D56"/>
      <c r="E56"/>
      <c r="F56" s="5"/>
      <c r="G56"/>
      <c r="H56"/>
      <c r="I56"/>
      <c r="J56" s="5"/>
      <c r="K56"/>
    </row>
    <row r="57" spans="1:11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1" x14ac:dyDescent="0.35">
      <c r="A58" s="5"/>
      <c r="B58" s="101" t="str">
        <f>B46</f>
        <v>PLEKSİ 1S1Ç KABİN</v>
      </c>
      <c r="C58" s="101"/>
      <c r="D58" s="101">
        <f>B7</f>
        <v>182</v>
      </c>
      <c r="E58" s="118">
        <f>B8</f>
        <v>100</v>
      </c>
      <c r="F58" s="101" t="str">
        <f>F30</f>
        <v>Parlak Profil Damla Desen Pleksi</v>
      </c>
      <c r="G58" s="101"/>
      <c r="H58" s="101"/>
      <c r="I58" s="128">
        <f>I30</f>
        <v>3000</v>
      </c>
      <c r="J58" s="5"/>
      <c r="K58" s="5"/>
    </row>
    <row r="59" spans="1:11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1" x14ac:dyDescent="0.35">
      <c r="A60" s="5"/>
      <c r="B60" s="101"/>
      <c r="C60" s="101"/>
      <c r="D60" s="101"/>
      <c r="E60" s="101"/>
      <c r="F60" s="101"/>
      <c r="G60" s="101"/>
      <c r="H60" s="101"/>
      <c r="I60" s="101"/>
      <c r="J60" s="5"/>
      <c r="K60" s="5"/>
    </row>
    <row r="61" spans="1:11" ht="15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  <c r="K61"/>
    </row>
  </sheetData>
  <mergeCells count="53">
    <mergeCell ref="I58:I59"/>
    <mergeCell ref="G36:J36"/>
    <mergeCell ref="E5:G17"/>
    <mergeCell ref="I21:I24"/>
    <mergeCell ref="H21:H24"/>
    <mergeCell ref="E21:E24"/>
    <mergeCell ref="B36:E38"/>
    <mergeCell ref="G38:I38"/>
    <mergeCell ref="B41:E43"/>
    <mergeCell ref="H41:I41"/>
    <mergeCell ref="F30:H31"/>
    <mergeCell ref="I30:I31"/>
    <mergeCell ref="F29:G29"/>
    <mergeCell ref="B21:B24"/>
    <mergeCell ref="C21:C24"/>
    <mergeCell ref="B14:C14"/>
    <mergeCell ref="D1:F1"/>
    <mergeCell ref="G1:I1"/>
    <mergeCell ref="D2:F2"/>
    <mergeCell ref="G2:I2"/>
    <mergeCell ref="I46:I47"/>
    <mergeCell ref="I8:I11"/>
    <mergeCell ref="B2:C2"/>
    <mergeCell ref="B45:C45"/>
    <mergeCell ref="F45:H45"/>
    <mergeCell ref="D21:D24"/>
    <mergeCell ref="F21:F24"/>
    <mergeCell ref="G21:G24"/>
    <mergeCell ref="B46:C47"/>
    <mergeCell ref="D46:D47"/>
    <mergeCell ref="E46:E47"/>
    <mergeCell ref="F46:H47"/>
    <mergeCell ref="B48:C49"/>
    <mergeCell ref="D48:D49"/>
    <mergeCell ref="E48:E49"/>
    <mergeCell ref="F48:H49"/>
    <mergeCell ref="I48:I49"/>
    <mergeCell ref="B51:E51"/>
    <mergeCell ref="B53:E55"/>
    <mergeCell ref="G53:I53"/>
    <mergeCell ref="H55:I55"/>
    <mergeCell ref="G51:J51"/>
    <mergeCell ref="B57:C57"/>
    <mergeCell ref="F57:H57"/>
    <mergeCell ref="B58:C59"/>
    <mergeCell ref="D58:D59"/>
    <mergeCell ref="E58:E59"/>
    <mergeCell ref="F58:H59"/>
    <mergeCell ref="B60:C61"/>
    <mergeCell ref="D60:D61"/>
    <mergeCell ref="E60:E61"/>
    <mergeCell ref="F60:H61"/>
    <mergeCell ref="I60:I61"/>
  </mergeCells>
  <dataValidations count="1">
    <dataValidation type="list" allowBlank="1" showInputMessage="1" showErrorMessage="1" sqref="B5" xr:uid="{4F63F216-6730-4F7B-BAAA-54D86BEBFA39}">
      <formula1>renk</formula1>
    </dataValidation>
  </dataValidations>
  <pageMargins left="0.25" right="0.25" top="0.75" bottom="0.75" header="0.3" footer="0.3"/>
  <pageSetup paperSize="9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3">
    <pageSetUpPr fitToPage="1"/>
  </sheetPr>
  <dimension ref="A1:K61"/>
  <sheetViews>
    <sheetView zoomScaleNormal="100" workbookViewId="0">
      <selection activeCell="J3" sqref="J3"/>
    </sheetView>
  </sheetViews>
  <sheetFormatPr defaultColWidth="9" defaultRowHeight="14.5" x14ac:dyDescent="0.25"/>
  <cols>
    <col min="1" max="1" width="11.08984375" style="4" customWidth="1"/>
    <col min="2" max="2" width="11.7265625" style="4" customWidth="1"/>
    <col min="3" max="3" width="13.7265625" style="4" customWidth="1"/>
    <col min="4" max="4" width="13.26953125" style="4" customWidth="1"/>
    <col min="5" max="5" width="11.7265625" style="4" customWidth="1"/>
    <col min="6" max="6" width="12.7265625" style="4" customWidth="1"/>
    <col min="7" max="7" width="13" style="4" customWidth="1"/>
    <col min="8" max="8" width="14" style="4" customWidth="1"/>
    <col min="9" max="10" width="13" style="4" customWidth="1"/>
    <col min="11" max="11" width="12.08984375" style="4" customWidth="1"/>
    <col min="12" max="16384" width="9" style="4"/>
  </cols>
  <sheetData>
    <row r="1" spans="1:9" x14ac:dyDescent="0.25">
      <c r="D1" s="131" t="s">
        <v>0</v>
      </c>
      <c r="E1" s="132"/>
      <c r="F1" s="132"/>
      <c r="G1" s="131" t="s">
        <v>1</v>
      </c>
      <c r="H1" s="131"/>
      <c r="I1" s="131"/>
    </row>
    <row r="2" spans="1:9" ht="16" x14ac:dyDescent="0.4">
      <c r="A2" s="21" t="s">
        <v>2</v>
      </c>
      <c r="B2" s="87">
        <f ca="1">TODAY()</f>
        <v>46006</v>
      </c>
      <c r="C2" s="88"/>
      <c r="D2" s="86" t="s">
        <v>37</v>
      </c>
      <c r="E2" s="86"/>
      <c r="F2" s="86"/>
      <c r="G2" s="86"/>
      <c r="H2" s="86"/>
      <c r="I2" s="86"/>
    </row>
    <row r="5" spans="1:9" x14ac:dyDescent="0.25">
      <c r="A5" s="26" t="s">
        <v>4</v>
      </c>
      <c r="B5" s="25" t="s">
        <v>5</v>
      </c>
      <c r="E5" s="134" t="e" vm="15">
        <v>#VALUE!</v>
      </c>
      <c r="F5" s="135"/>
      <c r="G5" s="136"/>
    </row>
    <row r="6" spans="1:9" x14ac:dyDescent="0.25">
      <c r="A6" s="26" t="s">
        <v>6</v>
      </c>
      <c r="B6" s="25" t="s">
        <v>7</v>
      </c>
      <c r="E6" s="137"/>
      <c r="F6" s="138"/>
      <c r="G6" s="139"/>
    </row>
    <row r="7" spans="1:9" x14ac:dyDescent="0.25">
      <c r="A7" s="26" t="s">
        <v>8</v>
      </c>
      <c r="B7" s="25">
        <v>182</v>
      </c>
      <c r="E7" s="137"/>
      <c r="F7" s="138"/>
      <c r="G7" s="139"/>
      <c r="I7" s="27" t="s">
        <v>9</v>
      </c>
    </row>
    <row r="8" spans="1:9" ht="13.9" customHeight="1" x14ac:dyDescent="0.25">
      <c r="A8" s="26" t="s">
        <v>10</v>
      </c>
      <c r="B8" s="25">
        <v>165</v>
      </c>
      <c r="E8" s="137"/>
      <c r="F8" s="138"/>
      <c r="G8" s="139"/>
      <c r="I8" s="86" t="e" vm="2">
        <v>#VALUE!</v>
      </c>
    </row>
    <row r="9" spans="1:9" x14ac:dyDescent="0.25">
      <c r="E9" s="137"/>
      <c r="F9" s="138"/>
      <c r="G9" s="139"/>
      <c r="I9" s="86"/>
    </row>
    <row r="10" spans="1:9" x14ac:dyDescent="0.25">
      <c r="E10" s="137"/>
      <c r="F10" s="138"/>
      <c r="G10" s="139"/>
      <c r="I10" s="86"/>
    </row>
    <row r="11" spans="1:9" x14ac:dyDescent="0.25">
      <c r="E11" s="137"/>
      <c r="F11" s="138"/>
      <c r="G11" s="139"/>
      <c r="I11" s="86"/>
    </row>
    <row r="12" spans="1:9" x14ac:dyDescent="0.25">
      <c r="E12" s="137"/>
      <c r="F12" s="138"/>
      <c r="G12" s="139"/>
      <c r="I12" s="39">
        <f>(B8-9)</f>
        <v>156</v>
      </c>
    </row>
    <row r="13" spans="1:9" x14ac:dyDescent="0.25">
      <c r="E13" s="137"/>
      <c r="F13" s="138"/>
      <c r="G13" s="139"/>
      <c r="I13" s="24" t="s">
        <v>12</v>
      </c>
    </row>
    <row r="14" spans="1:9" ht="16" x14ac:dyDescent="0.25">
      <c r="B14" s="133" t="s">
        <v>40</v>
      </c>
      <c r="C14" s="133"/>
      <c r="E14" s="137"/>
      <c r="F14" s="138"/>
      <c r="G14" s="139"/>
    </row>
    <row r="15" spans="1:9" x14ac:dyDescent="0.25">
      <c r="E15" s="137"/>
      <c r="F15" s="138"/>
      <c r="G15" s="139"/>
    </row>
    <row r="16" spans="1:9" x14ac:dyDescent="0.25">
      <c r="E16" s="137"/>
      <c r="F16" s="138"/>
      <c r="G16" s="139"/>
    </row>
    <row r="17" spans="1:11" x14ac:dyDescent="0.25">
      <c r="E17" s="140"/>
      <c r="F17" s="141"/>
      <c r="G17" s="142"/>
    </row>
    <row r="20" spans="1:11" ht="16" x14ac:dyDescent="0.25">
      <c r="B20" s="33" t="s">
        <v>14</v>
      </c>
      <c r="C20" s="33" t="s">
        <v>15</v>
      </c>
      <c r="D20" s="33" t="s">
        <v>16</v>
      </c>
      <c r="E20" s="33" t="s">
        <v>17</v>
      </c>
      <c r="F20" s="33" t="s">
        <v>18</v>
      </c>
      <c r="G20" s="33" t="s">
        <v>19</v>
      </c>
      <c r="H20" s="34" t="s">
        <v>20</v>
      </c>
      <c r="I20" s="34" t="s">
        <v>39</v>
      </c>
      <c r="J20" s="32"/>
      <c r="K20" s="32"/>
    </row>
    <row r="21" spans="1:11" x14ac:dyDescent="0.25">
      <c r="B21" s="86" t="e" vm="3">
        <v>#VALUE!</v>
      </c>
      <c r="C21" s="86" t="e" vm="4">
        <v>#VALUE!</v>
      </c>
      <c r="D21" s="86" t="e" vm="13">
        <v>#VALUE!</v>
      </c>
      <c r="E21" s="86" t="e" vm="6">
        <v>#VALUE!</v>
      </c>
      <c r="F21" s="86" t="e" vm="7">
        <v>#VALUE!</v>
      </c>
      <c r="G21" s="86" t="e" vm="8">
        <v>#VALUE!</v>
      </c>
      <c r="H21" s="143" t="e" vm="9">
        <v>#VALUE!</v>
      </c>
      <c r="I21" s="143" t="e" vm="14">
        <v>#VALUE!</v>
      </c>
    </row>
    <row r="22" spans="1:11" x14ac:dyDescent="0.25">
      <c r="B22" s="86"/>
      <c r="C22" s="86"/>
      <c r="D22" s="86"/>
      <c r="E22" s="86"/>
      <c r="F22" s="86"/>
      <c r="G22" s="86"/>
      <c r="H22" s="143"/>
      <c r="I22" s="143"/>
    </row>
    <row r="23" spans="1:11" x14ac:dyDescent="0.25">
      <c r="B23" s="86"/>
      <c r="C23" s="86"/>
      <c r="D23" s="86"/>
      <c r="E23" s="86"/>
      <c r="F23" s="86"/>
      <c r="G23" s="86"/>
      <c r="H23" s="143"/>
      <c r="I23" s="143"/>
    </row>
    <row r="24" spans="1:11" x14ac:dyDescent="0.25">
      <c r="B24" s="86"/>
      <c r="C24" s="86"/>
      <c r="D24" s="86"/>
      <c r="E24" s="86"/>
      <c r="F24" s="86"/>
      <c r="G24" s="86"/>
      <c r="H24" s="143"/>
      <c r="I24" s="143"/>
    </row>
    <row r="25" spans="1:11" x14ac:dyDescent="0.25">
      <c r="B25" s="16">
        <f>(B8/2)+5</f>
        <v>87.5</v>
      </c>
      <c r="C25" s="16">
        <f>(B8/2)+5</f>
        <v>87.5</v>
      </c>
      <c r="D25" s="16">
        <f>(B7-5.8)</f>
        <v>176.2</v>
      </c>
      <c r="E25" s="16">
        <f>(B7-5.8)</f>
        <v>176.2</v>
      </c>
      <c r="F25" s="16">
        <f>(B7-12.5)</f>
        <v>169.5</v>
      </c>
      <c r="G25" s="16">
        <f>B7-0.5</f>
        <v>181.5</v>
      </c>
      <c r="H25" s="17">
        <f>B7-0.5</f>
        <v>181.5</v>
      </c>
      <c r="I25" s="17">
        <f>B7-8</f>
        <v>174</v>
      </c>
    </row>
    <row r="26" spans="1:11" x14ac:dyDescent="0.25">
      <c r="B26" s="16" t="s">
        <v>12</v>
      </c>
      <c r="C26" s="16" t="s">
        <v>12</v>
      </c>
      <c r="D26" s="16" t="s">
        <v>12</v>
      </c>
      <c r="E26" s="16" t="s">
        <v>12</v>
      </c>
      <c r="F26" s="16" t="s">
        <v>12</v>
      </c>
      <c r="G26" s="16" t="s">
        <v>12</v>
      </c>
      <c r="H26" s="17" t="s">
        <v>12</v>
      </c>
      <c r="I26" s="17" t="s">
        <v>23</v>
      </c>
    </row>
    <row r="29" spans="1:11" x14ac:dyDescent="0.25">
      <c r="F29" s="99" t="s">
        <v>21</v>
      </c>
      <c r="G29" s="100"/>
      <c r="I29" s="46" t="s">
        <v>32</v>
      </c>
    </row>
    <row r="30" spans="1:11" x14ac:dyDescent="0.25">
      <c r="A30" s="43" t="s">
        <v>22</v>
      </c>
      <c r="B30" s="16">
        <f>(B7-10.7)</f>
        <v>171.3</v>
      </c>
      <c r="C30" s="16">
        <f>(B8/2)-3.8</f>
        <v>78.7</v>
      </c>
      <c r="D30" s="16" t="s">
        <v>23</v>
      </c>
      <c r="F30" s="146" t="s">
        <v>60</v>
      </c>
      <c r="G30" s="120"/>
      <c r="H30" s="121"/>
      <c r="I30" s="125">
        <v>3000</v>
      </c>
    </row>
    <row r="31" spans="1:11" x14ac:dyDescent="0.25">
      <c r="A31" s="43" t="s">
        <v>24</v>
      </c>
      <c r="B31" s="16">
        <f>(B7-10.7)</f>
        <v>171.3</v>
      </c>
      <c r="C31" s="16">
        <f>(B8/2)-3.8</f>
        <v>78.7</v>
      </c>
      <c r="D31" s="16" t="s">
        <v>23</v>
      </c>
      <c r="F31" s="122"/>
      <c r="G31" s="123"/>
      <c r="H31" s="124"/>
      <c r="I31" s="126"/>
    </row>
    <row r="32" spans="1:11" x14ac:dyDescent="0.25">
      <c r="A32" s="43" t="s">
        <v>22</v>
      </c>
      <c r="B32" s="16">
        <f>(B7-10.7)</f>
        <v>171.3</v>
      </c>
      <c r="C32" s="16">
        <f>(B8/2)-3.8</f>
        <v>78.7</v>
      </c>
      <c r="D32" s="16" t="s">
        <v>23</v>
      </c>
    </row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>Hıdır Ayzaduş</v>
      </c>
      <c r="H36" s="103"/>
      <c r="I36" s="103"/>
      <c r="J36" s="103"/>
      <c r="K36" s="50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  <c r="K37"/>
    </row>
    <row r="38" spans="1:11" ht="18.5" x14ac:dyDescent="0.45">
      <c r="A38" s="5"/>
      <c r="B38" s="93"/>
      <c r="C38" s="93"/>
      <c r="D38" s="93"/>
      <c r="E38" s="93"/>
      <c r="F38" s="23" t="s">
        <v>27</v>
      </c>
      <c r="G38" s="127">
        <f>G2</f>
        <v>0</v>
      </c>
      <c r="H38" s="127"/>
      <c r="I38" s="127"/>
      <c r="J38" s="5"/>
      <c r="K38"/>
    </row>
    <row r="39" spans="1:11" ht="2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  <c r="K39"/>
    </row>
    <row r="40" spans="1:11" ht="15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  <c r="K40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  <c r="K41"/>
    </row>
    <row r="42" spans="1:11" ht="14.5" customHeight="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 s="5"/>
    </row>
    <row r="46" spans="1:11" ht="15" x14ac:dyDescent="0.35">
      <c r="A46" s="5"/>
      <c r="B46" s="101" t="str">
        <f>B14</f>
        <v>PLEKSİ 1S2Ç KABİN</v>
      </c>
      <c r="C46" s="101"/>
      <c r="D46" s="101">
        <f>B7</f>
        <v>182</v>
      </c>
      <c r="E46" s="118">
        <f>B8</f>
        <v>165</v>
      </c>
      <c r="F46" s="101" t="str">
        <f>F30</f>
        <v>Parlak Profil Damla Desen Pleksi</v>
      </c>
      <c r="G46" s="101"/>
      <c r="H46" s="101"/>
      <c r="I46" s="128">
        <f>I30</f>
        <v>3000</v>
      </c>
      <c r="J46" s="5"/>
      <c r="K46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  <c r="K47"/>
    </row>
    <row r="48" spans="1:11" ht="15" x14ac:dyDescent="0.35">
      <c r="A48" s="5"/>
      <c r="B48" s="101" t="s">
        <v>63</v>
      </c>
      <c r="C48" s="101"/>
      <c r="D48" s="101"/>
      <c r="E48" s="101"/>
      <c r="F48" s="101"/>
      <c r="G48" s="101"/>
      <c r="H48" s="101"/>
      <c r="I48" s="101"/>
      <c r="J48" s="5"/>
      <c r="K48"/>
    </row>
    <row r="49" spans="1:11" ht="15" x14ac:dyDescent="0.35">
      <c r="A49" s="5"/>
      <c r="B49" s="101"/>
      <c r="C49" s="101"/>
      <c r="D49" s="101"/>
      <c r="E49" s="101"/>
      <c r="F49" s="101"/>
      <c r="G49" s="101"/>
      <c r="H49" s="101"/>
      <c r="I49" s="101"/>
      <c r="J49"/>
      <c r="K49" s="3"/>
    </row>
    <row r="50" spans="1:11" ht="15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  <c r="K50"/>
    </row>
    <row r="51" spans="1:11" ht="47.5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130" t="str">
        <f>G36</f>
        <v>Hıdır Ayzaduş</v>
      </c>
      <c r="H51" s="130"/>
      <c r="I51" s="130"/>
      <c r="J51" s="130"/>
      <c r="K51" s="49"/>
    </row>
    <row r="52" spans="1:11" ht="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/>
    </row>
    <row r="53" spans="1:11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>
        <f>G38</f>
        <v>0</v>
      </c>
      <c r="H53" s="129"/>
      <c r="I53" s="129"/>
      <c r="J53" s="5"/>
      <c r="K53"/>
    </row>
    <row r="54" spans="1:11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  <c r="K54"/>
    </row>
    <row r="55" spans="1:11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  <c r="K55"/>
    </row>
    <row r="56" spans="1:11" ht="15" x14ac:dyDescent="0.35">
      <c r="A56" s="5"/>
      <c r="B56"/>
      <c r="C56"/>
      <c r="D56"/>
      <c r="E56"/>
      <c r="F56" s="5"/>
      <c r="G56"/>
      <c r="H56"/>
      <c r="I56"/>
      <c r="J56" s="5"/>
      <c r="K56"/>
    </row>
    <row r="57" spans="1:11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1" x14ac:dyDescent="0.35">
      <c r="A58" s="5"/>
      <c r="B58" s="101" t="str">
        <f>B46</f>
        <v>PLEKSİ 1S2Ç KABİN</v>
      </c>
      <c r="C58" s="101"/>
      <c r="D58" s="101">
        <f>B7</f>
        <v>182</v>
      </c>
      <c r="E58" s="118">
        <f>B8</f>
        <v>165</v>
      </c>
      <c r="F58" s="101" t="str">
        <f>F30</f>
        <v>Parlak Profil Damla Desen Pleksi</v>
      </c>
      <c r="G58" s="101"/>
      <c r="H58" s="101"/>
      <c r="I58" s="128">
        <f>I30</f>
        <v>3000</v>
      </c>
      <c r="J58" s="5"/>
      <c r="K58" s="5"/>
    </row>
    <row r="59" spans="1:11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1" x14ac:dyDescent="0.35">
      <c r="A60" s="5"/>
      <c r="B60" s="101" t="s">
        <v>64</v>
      </c>
      <c r="C60" s="101"/>
      <c r="D60" s="101"/>
      <c r="E60" s="101"/>
      <c r="F60" s="101"/>
      <c r="G60" s="101"/>
      <c r="H60" s="101"/>
      <c r="I60" s="101"/>
      <c r="J60" s="5"/>
      <c r="K60" s="5"/>
    </row>
    <row r="61" spans="1:11" ht="15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  <c r="K61"/>
    </row>
  </sheetData>
  <mergeCells count="53">
    <mergeCell ref="I58:I59"/>
    <mergeCell ref="I30:I31"/>
    <mergeCell ref="E5:G17"/>
    <mergeCell ref="I21:I24"/>
    <mergeCell ref="H21:H24"/>
    <mergeCell ref="E21:E24"/>
    <mergeCell ref="F30:H31"/>
    <mergeCell ref="B36:E38"/>
    <mergeCell ref="G38:I38"/>
    <mergeCell ref="F29:G29"/>
    <mergeCell ref="B21:B24"/>
    <mergeCell ref="C21:C24"/>
    <mergeCell ref="D21:D24"/>
    <mergeCell ref="F21:F24"/>
    <mergeCell ref="G21:G24"/>
    <mergeCell ref="H41:I41"/>
    <mergeCell ref="D1:F1"/>
    <mergeCell ref="G1:I1"/>
    <mergeCell ref="D2:F2"/>
    <mergeCell ref="G2:I2"/>
    <mergeCell ref="B14:C14"/>
    <mergeCell ref="I8:I11"/>
    <mergeCell ref="B2:C2"/>
    <mergeCell ref="I46:I47"/>
    <mergeCell ref="B41:E43"/>
    <mergeCell ref="G51:J51"/>
    <mergeCell ref="B48:C49"/>
    <mergeCell ref="D48:D49"/>
    <mergeCell ref="E48:E49"/>
    <mergeCell ref="F48:H49"/>
    <mergeCell ref="I48:I49"/>
    <mergeCell ref="B45:C45"/>
    <mergeCell ref="F45:H45"/>
    <mergeCell ref="B46:C47"/>
    <mergeCell ref="D46:D47"/>
    <mergeCell ref="E46:E47"/>
    <mergeCell ref="F46:H47"/>
    <mergeCell ref="G36:J36"/>
    <mergeCell ref="B60:C61"/>
    <mergeCell ref="D60:D61"/>
    <mergeCell ref="E60:E61"/>
    <mergeCell ref="F60:H61"/>
    <mergeCell ref="I60:I61"/>
    <mergeCell ref="B57:C57"/>
    <mergeCell ref="F57:H57"/>
    <mergeCell ref="B58:C59"/>
    <mergeCell ref="D58:D59"/>
    <mergeCell ref="E58:E59"/>
    <mergeCell ref="F58:H59"/>
    <mergeCell ref="B51:E51"/>
    <mergeCell ref="B53:E55"/>
    <mergeCell ref="G53:I53"/>
    <mergeCell ref="H55:I55"/>
  </mergeCells>
  <dataValidations disablePrompts="1" count="1">
    <dataValidation type="list" allowBlank="1" showInputMessage="1" showErrorMessage="1" sqref="B5" xr:uid="{B2455496-6740-4E05-8C84-E6CBD0E5252C}">
      <formula1>renk</formula1>
    </dataValidation>
  </dataValidations>
  <pageMargins left="0.25" right="0.25" top="0.75" bottom="0.75" header="0.3" footer="0.3"/>
  <pageSetup paperSize="9" scale="7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>
    <pageSetUpPr fitToPage="1"/>
  </sheetPr>
  <dimension ref="A1:K69"/>
  <sheetViews>
    <sheetView topLeftCell="A6" workbookViewId="0">
      <selection activeCell="M35" sqref="M35"/>
    </sheetView>
  </sheetViews>
  <sheetFormatPr defaultColWidth="9" defaultRowHeight="14.5" x14ac:dyDescent="0.25"/>
  <cols>
    <col min="1" max="1" width="11.08984375" style="4" customWidth="1"/>
    <col min="2" max="2" width="11.7265625" style="4" customWidth="1"/>
    <col min="3" max="3" width="13.7265625" style="4" customWidth="1"/>
    <col min="4" max="4" width="13.26953125" style="4" customWidth="1"/>
    <col min="5" max="5" width="11.7265625" style="4" customWidth="1"/>
    <col min="6" max="6" width="12.7265625" style="4" customWidth="1"/>
    <col min="7" max="7" width="13" style="4" customWidth="1"/>
    <col min="8" max="8" width="14" style="4" customWidth="1"/>
    <col min="9" max="9" width="11.453125" style="4" customWidth="1"/>
    <col min="10" max="10" width="13" style="4" customWidth="1"/>
    <col min="11" max="11" width="12.08984375" style="4" customWidth="1"/>
    <col min="12" max="16384" width="9" style="4"/>
  </cols>
  <sheetData>
    <row r="1" spans="1:9" x14ac:dyDescent="0.25">
      <c r="D1" s="131" t="s">
        <v>0</v>
      </c>
      <c r="E1" s="132"/>
      <c r="F1" s="132"/>
      <c r="G1" s="131" t="s">
        <v>1</v>
      </c>
      <c r="H1" s="131"/>
      <c r="I1" s="131"/>
    </row>
    <row r="2" spans="1:9" ht="16" x14ac:dyDescent="0.4">
      <c r="A2" s="21" t="s">
        <v>2</v>
      </c>
      <c r="B2" s="87">
        <f ca="1">TODAY()</f>
        <v>46006</v>
      </c>
      <c r="C2" s="88"/>
      <c r="D2" s="145" t="s">
        <v>96</v>
      </c>
      <c r="E2" s="86"/>
      <c r="F2" s="86"/>
      <c r="G2" s="86"/>
      <c r="H2" s="86"/>
      <c r="I2" s="86"/>
    </row>
    <row r="5" spans="1:9" x14ac:dyDescent="0.25">
      <c r="A5" s="26" t="s">
        <v>4</v>
      </c>
      <c r="B5" s="25" t="s">
        <v>33</v>
      </c>
      <c r="E5" s="134" t="e" vm="16">
        <v>#VALUE!</v>
      </c>
      <c r="F5" s="135"/>
      <c r="G5" s="136"/>
    </row>
    <row r="6" spans="1:9" x14ac:dyDescent="0.25">
      <c r="A6" s="26" t="s">
        <v>6</v>
      </c>
      <c r="B6" s="25" t="s">
        <v>7</v>
      </c>
      <c r="E6" s="137"/>
      <c r="F6" s="138"/>
      <c r="G6" s="139"/>
    </row>
    <row r="7" spans="1:9" x14ac:dyDescent="0.25">
      <c r="A7" s="26" t="s">
        <v>8</v>
      </c>
      <c r="B7" s="25">
        <v>182</v>
      </c>
      <c r="E7" s="137"/>
      <c r="F7" s="138"/>
      <c r="G7" s="139"/>
      <c r="I7" s="27" t="s">
        <v>9</v>
      </c>
    </row>
    <row r="8" spans="1:9" ht="13.9" customHeight="1" x14ac:dyDescent="0.25">
      <c r="A8" s="26" t="s">
        <v>10</v>
      </c>
      <c r="B8" s="25">
        <v>227</v>
      </c>
      <c r="E8" s="137"/>
      <c r="F8" s="138"/>
      <c r="G8" s="139"/>
      <c r="I8" s="86" t="e" vm="2">
        <v>#VALUE!</v>
      </c>
    </row>
    <row r="9" spans="1:9" x14ac:dyDescent="0.25">
      <c r="E9" s="137"/>
      <c r="F9" s="138"/>
      <c r="G9" s="139"/>
      <c r="I9" s="86"/>
    </row>
    <row r="10" spans="1:9" x14ac:dyDescent="0.25">
      <c r="E10" s="137"/>
      <c r="F10" s="138"/>
      <c r="G10" s="139"/>
      <c r="I10" s="86"/>
    </row>
    <row r="11" spans="1:9" x14ac:dyDescent="0.25">
      <c r="E11" s="137"/>
      <c r="F11" s="138"/>
      <c r="G11" s="139"/>
      <c r="I11" s="147"/>
    </row>
    <row r="12" spans="1:9" x14ac:dyDescent="0.25">
      <c r="E12" s="137"/>
      <c r="F12" s="138"/>
      <c r="G12" s="139"/>
      <c r="I12" s="24">
        <f>(B8-9)</f>
        <v>218</v>
      </c>
    </row>
    <row r="13" spans="1:9" x14ac:dyDescent="0.25">
      <c r="E13" s="137"/>
      <c r="F13" s="138"/>
      <c r="G13" s="139"/>
      <c r="I13" s="44" t="s">
        <v>12</v>
      </c>
    </row>
    <row r="14" spans="1:9" ht="16" x14ac:dyDescent="0.25">
      <c r="B14" s="133" t="s">
        <v>41</v>
      </c>
      <c r="C14" s="133"/>
      <c r="E14" s="137"/>
      <c r="F14" s="138"/>
      <c r="G14" s="139"/>
    </row>
    <row r="15" spans="1:9" x14ac:dyDescent="0.25">
      <c r="E15" s="137"/>
      <c r="F15" s="138"/>
      <c r="G15" s="139"/>
    </row>
    <row r="16" spans="1:9" x14ac:dyDescent="0.25">
      <c r="E16" s="137"/>
      <c r="F16" s="138"/>
      <c r="G16" s="139"/>
    </row>
    <row r="17" spans="1:11" x14ac:dyDescent="0.25">
      <c r="E17" s="140"/>
      <c r="F17" s="141"/>
      <c r="G17" s="142"/>
    </row>
    <row r="20" spans="1:11" ht="16" x14ac:dyDescent="0.25">
      <c r="A20" s="33" t="s">
        <v>14</v>
      </c>
      <c r="B20" s="33" t="s">
        <v>15</v>
      </c>
      <c r="C20" s="33" t="s">
        <v>14</v>
      </c>
      <c r="D20" s="33" t="s">
        <v>15</v>
      </c>
      <c r="E20" s="33" t="s">
        <v>16</v>
      </c>
      <c r="F20" s="33" t="s">
        <v>17</v>
      </c>
      <c r="G20" s="33" t="s">
        <v>18</v>
      </c>
      <c r="H20" s="33" t="s">
        <v>19</v>
      </c>
      <c r="I20" s="34" t="s">
        <v>20</v>
      </c>
      <c r="J20" s="32"/>
      <c r="K20" s="32"/>
    </row>
    <row r="21" spans="1:11" ht="13.9" customHeight="1" x14ac:dyDescent="0.25">
      <c r="A21" s="86" t="e" vm="3">
        <v>#VALUE!</v>
      </c>
      <c r="B21" s="86" t="e" vm="4">
        <v>#VALUE!</v>
      </c>
      <c r="C21" s="86" t="e" vm="3">
        <v>#VALUE!</v>
      </c>
      <c r="D21" s="86" t="e" vm="4">
        <v>#VALUE!</v>
      </c>
      <c r="E21" s="86" t="e" vm="13">
        <v>#VALUE!</v>
      </c>
      <c r="F21" s="86" t="e" vm="6">
        <v>#VALUE!</v>
      </c>
      <c r="G21" s="86" t="e" vm="7">
        <v>#VALUE!</v>
      </c>
      <c r="H21" s="86" t="e" vm="8">
        <v>#VALUE!</v>
      </c>
      <c r="I21" s="143" t="e" vm="9">
        <v>#VALUE!</v>
      </c>
    </row>
    <row r="22" spans="1:11" ht="13.9" customHeight="1" x14ac:dyDescent="0.25">
      <c r="A22" s="86"/>
      <c r="B22" s="86"/>
      <c r="C22" s="86"/>
      <c r="D22" s="86"/>
      <c r="E22" s="86"/>
      <c r="F22" s="86"/>
      <c r="G22" s="86"/>
      <c r="H22" s="86"/>
      <c r="I22" s="143"/>
    </row>
    <row r="23" spans="1:11" ht="13.9" customHeight="1" x14ac:dyDescent="0.25">
      <c r="A23" s="86"/>
      <c r="B23" s="86"/>
      <c r="C23" s="86"/>
      <c r="D23" s="86"/>
      <c r="E23" s="86"/>
      <c r="F23" s="86"/>
      <c r="G23" s="86"/>
      <c r="H23" s="86"/>
      <c r="I23" s="143"/>
    </row>
    <row r="24" spans="1:11" ht="13.9" customHeight="1" x14ac:dyDescent="0.25">
      <c r="A24" s="86"/>
      <c r="B24" s="86"/>
      <c r="C24" s="86"/>
      <c r="D24" s="86"/>
      <c r="E24" s="86"/>
      <c r="F24" s="86"/>
      <c r="G24" s="86"/>
      <c r="H24" s="86"/>
      <c r="I24" s="143"/>
    </row>
    <row r="25" spans="1:11" x14ac:dyDescent="0.25">
      <c r="A25" s="16">
        <f>(B8/4)-7</f>
        <v>49.75</v>
      </c>
      <c r="B25" s="16">
        <f>(B8/4)-7</f>
        <v>49.75</v>
      </c>
      <c r="C25" s="16">
        <f>(B8/4)-7</f>
        <v>49.75</v>
      </c>
      <c r="D25" s="16">
        <f>(B8/4)-7</f>
        <v>49.75</v>
      </c>
      <c r="E25" s="16">
        <f>(B7-5.8)</f>
        <v>176.2</v>
      </c>
      <c r="F25" s="16">
        <f>(B7-5.8)</f>
        <v>176.2</v>
      </c>
      <c r="G25" s="16">
        <f>(B7-12.5)</f>
        <v>169.5</v>
      </c>
      <c r="H25" s="16">
        <f>B7</f>
        <v>182</v>
      </c>
      <c r="I25" s="17">
        <f>B7</f>
        <v>182</v>
      </c>
    </row>
    <row r="26" spans="1:11" x14ac:dyDescent="0.25">
      <c r="A26" s="16" t="s">
        <v>12</v>
      </c>
      <c r="B26" s="16" t="s">
        <v>12</v>
      </c>
      <c r="C26" s="16" t="s">
        <v>12</v>
      </c>
      <c r="D26" s="16" t="s">
        <v>12</v>
      </c>
      <c r="E26" s="16" t="s">
        <v>12</v>
      </c>
      <c r="F26" s="16" t="s">
        <v>12</v>
      </c>
      <c r="G26" s="16" t="s">
        <v>12</v>
      </c>
      <c r="H26" s="16" t="s">
        <v>12</v>
      </c>
      <c r="I26" s="17" t="s">
        <v>12</v>
      </c>
    </row>
    <row r="29" spans="1:11" x14ac:dyDescent="0.25">
      <c r="F29" s="99" t="s">
        <v>21</v>
      </c>
      <c r="G29" s="100"/>
      <c r="I29" s="46" t="s">
        <v>32</v>
      </c>
    </row>
    <row r="30" spans="1:11" x14ac:dyDescent="0.25">
      <c r="A30" s="43" t="s">
        <v>22</v>
      </c>
      <c r="B30" s="16">
        <f>(B7-10.7)</f>
        <v>171.3</v>
      </c>
      <c r="C30" s="16">
        <f>(B8/4)-4</f>
        <v>52.75</v>
      </c>
      <c r="D30" s="16" t="s">
        <v>23</v>
      </c>
      <c r="F30" s="119" t="s">
        <v>110</v>
      </c>
      <c r="G30" s="120"/>
      <c r="H30" s="121"/>
      <c r="I30" s="125">
        <v>2800</v>
      </c>
    </row>
    <row r="31" spans="1:11" x14ac:dyDescent="0.25">
      <c r="A31" s="43" t="s">
        <v>24</v>
      </c>
      <c r="B31" s="16">
        <f>(B7-10.7)</f>
        <v>171.3</v>
      </c>
      <c r="C31" s="16">
        <f>(B8/4)-4</f>
        <v>52.75</v>
      </c>
      <c r="D31" s="16" t="s">
        <v>23</v>
      </c>
      <c r="F31" s="122"/>
      <c r="G31" s="123"/>
      <c r="H31" s="124"/>
      <c r="I31" s="126"/>
    </row>
    <row r="32" spans="1:11" x14ac:dyDescent="0.25">
      <c r="A32" s="43" t="s">
        <v>22</v>
      </c>
      <c r="B32" s="16">
        <f>(B7-10.7)</f>
        <v>171.3</v>
      </c>
      <c r="C32" s="16">
        <f>(B8/4)-4</f>
        <v>52.75</v>
      </c>
      <c r="D32" s="16" t="s">
        <v>23</v>
      </c>
    </row>
    <row r="33" spans="1:11" x14ac:dyDescent="0.25">
      <c r="A33" s="43" t="s">
        <v>24</v>
      </c>
      <c r="B33" s="16">
        <f>(B7-10.7)</f>
        <v>171.3</v>
      </c>
      <c r="C33" s="16">
        <f>(B8/4)-4</f>
        <v>52.75</v>
      </c>
      <c r="D33" s="16" t="s">
        <v>23</v>
      </c>
    </row>
    <row r="35" spans="1:1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>kasım arslan</v>
      </c>
      <c r="H36" s="103"/>
      <c r="I36" s="103"/>
      <c r="J36" s="103"/>
      <c r="K36" s="50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  <c r="K37"/>
    </row>
    <row r="38" spans="1:11" ht="18.5" x14ac:dyDescent="0.45">
      <c r="A38" s="5"/>
      <c r="B38" s="93"/>
      <c r="C38" s="93"/>
      <c r="D38" s="93"/>
      <c r="E38" s="93"/>
      <c r="F38" s="23" t="s">
        <v>27</v>
      </c>
      <c r="G38" s="127"/>
      <c r="H38" s="127"/>
      <c r="I38" s="127"/>
      <c r="J38" s="5"/>
      <c r="K38"/>
    </row>
    <row r="39" spans="1:11" ht="2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  <c r="K39"/>
    </row>
    <row r="40" spans="1:11" ht="15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  <c r="K40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  <c r="K41"/>
    </row>
    <row r="42" spans="1:11" ht="14.5" customHeight="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 s="5"/>
    </row>
    <row r="46" spans="1:11" ht="15" x14ac:dyDescent="0.35">
      <c r="A46" s="5"/>
      <c r="B46" s="101" t="str">
        <f>B14</f>
        <v>PLEKSİ 2S2Ç KABİN</v>
      </c>
      <c r="C46" s="101"/>
      <c r="D46" s="101">
        <f>B7</f>
        <v>182</v>
      </c>
      <c r="E46" s="118">
        <f>B8</f>
        <v>227</v>
      </c>
      <c r="F46" s="101" t="str">
        <f>F30</f>
        <v>Siyah profil pleksi</v>
      </c>
      <c r="G46" s="101"/>
      <c r="H46" s="101"/>
      <c r="I46" s="128">
        <f>I30</f>
        <v>2800</v>
      </c>
      <c r="J46" s="5"/>
      <c r="K46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  <c r="K47"/>
    </row>
    <row r="48" spans="1:11" ht="15" x14ac:dyDescent="0.35">
      <c r="A48" s="5"/>
      <c r="B48" s="149"/>
      <c r="C48" s="101"/>
      <c r="D48" s="101"/>
      <c r="E48" s="101"/>
      <c r="F48" s="101"/>
      <c r="G48" s="101"/>
      <c r="H48" s="101"/>
      <c r="I48" s="101"/>
      <c r="J48" s="5"/>
      <c r="K48"/>
    </row>
    <row r="49" spans="1:11" ht="15.65" customHeight="1" x14ac:dyDescent="0.35">
      <c r="A49" s="5"/>
      <c r="B49" s="101"/>
      <c r="C49" s="101"/>
      <c r="D49" s="101"/>
      <c r="E49" s="101"/>
      <c r="F49" s="101"/>
      <c r="G49" s="101"/>
      <c r="H49" s="101"/>
      <c r="I49" s="101"/>
      <c r="J49"/>
      <c r="K49" s="3"/>
    </row>
    <row r="50" spans="1:11" ht="36.65" customHeight="1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  <c r="K50"/>
    </row>
    <row r="51" spans="1:11" ht="37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148" t="str">
        <f>G36</f>
        <v>kasım arslan</v>
      </c>
      <c r="H51" s="148"/>
      <c r="I51" s="148"/>
      <c r="J51" s="148"/>
      <c r="K51" s="76"/>
    </row>
    <row r="52" spans="1:11" ht="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/>
    </row>
    <row r="53" spans="1:11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>
        <f>G38</f>
        <v>0</v>
      </c>
      <c r="H53" s="129"/>
      <c r="I53" s="129"/>
      <c r="J53" s="5"/>
      <c r="K53"/>
    </row>
    <row r="54" spans="1:11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  <c r="K54"/>
    </row>
    <row r="55" spans="1:11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  <c r="K55"/>
    </row>
    <row r="56" spans="1:11" ht="15" x14ac:dyDescent="0.35">
      <c r="A56" s="5"/>
      <c r="B56"/>
      <c r="C56"/>
      <c r="D56"/>
      <c r="E56"/>
      <c r="F56" s="5"/>
      <c r="G56"/>
      <c r="H56"/>
      <c r="I56"/>
      <c r="J56" s="5"/>
      <c r="K56"/>
    </row>
    <row r="57" spans="1:11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1" x14ac:dyDescent="0.35">
      <c r="A58" s="5"/>
      <c r="B58" s="101" t="str">
        <f>B46</f>
        <v>PLEKSİ 2S2Ç KABİN</v>
      </c>
      <c r="C58" s="101"/>
      <c r="D58" s="101">
        <f>B7</f>
        <v>182</v>
      </c>
      <c r="E58" s="118">
        <f>B8</f>
        <v>227</v>
      </c>
      <c r="F58" s="101" t="str">
        <f>F30</f>
        <v>Siyah profil pleksi</v>
      </c>
      <c r="G58" s="101"/>
      <c r="H58" s="101"/>
      <c r="I58" s="128">
        <f>I30</f>
        <v>2800</v>
      </c>
      <c r="J58" s="5"/>
      <c r="K58" s="5"/>
    </row>
    <row r="59" spans="1:11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1" x14ac:dyDescent="0.35">
      <c r="A60" s="5"/>
      <c r="B60" s="101"/>
      <c r="C60" s="101"/>
      <c r="D60" s="101"/>
      <c r="E60" s="101"/>
      <c r="F60" s="101"/>
      <c r="G60" s="101"/>
      <c r="H60" s="101"/>
      <c r="I60" s="101"/>
      <c r="J60" s="5"/>
      <c r="K60" s="5"/>
    </row>
    <row r="61" spans="1:11" ht="15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  <c r="K61"/>
    </row>
    <row r="62" spans="1:1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spans="1:1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 spans="1:1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spans="1:10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 spans="1:10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spans="1:10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 spans="1:10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spans="1:10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</row>
  </sheetData>
  <mergeCells count="54">
    <mergeCell ref="B60:C61"/>
    <mergeCell ref="D60:D61"/>
    <mergeCell ref="E60:E61"/>
    <mergeCell ref="F60:H61"/>
    <mergeCell ref="I60:I61"/>
    <mergeCell ref="B58:C59"/>
    <mergeCell ref="D58:D59"/>
    <mergeCell ref="E58:E59"/>
    <mergeCell ref="F58:H59"/>
    <mergeCell ref="I58:I59"/>
    <mergeCell ref="B53:E55"/>
    <mergeCell ref="G53:I53"/>
    <mergeCell ref="H55:I55"/>
    <mergeCell ref="B57:C57"/>
    <mergeCell ref="F57:H57"/>
    <mergeCell ref="I21:I24"/>
    <mergeCell ref="I48:I49"/>
    <mergeCell ref="B45:C45"/>
    <mergeCell ref="F45:H45"/>
    <mergeCell ref="B46:C47"/>
    <mergeCell ref="D46:D47"/>
    <mergeCell ref="E46:E47"/>
    <mergeCell ref="F46:H47"/>
    <mergeCell ref="I30:I31"/>
    <mergeCell ref="B36:E38"/>
    <mergeCell ref="G38:I38"/>
    <mergeCell ref="B41:E43"/>
    <mergeCell ref="H41:I41"/>
    <mergeCell ref="H21:H24"/>
    <mergeCell ref="E21:E24"/>
    <mergeCell ref="F30:H31"/>
    <mergeCell ref="B51:E51"/>
    <mergeCell ref="G36:J36"/>
    <mergeCell ref="G51:J51"/>
    <mergeCell ref="I46:I47"/>
    <mergeCell ref="B48:C49"/>
    <mergeCell ref="D48:D49"/>
    <mergeCell ref="E48:E49"/>
    <mergeCell ref="F48:H49"/>
    <mergeCell ref="F29:G29"/>
    <mergeCell ref="A21:A24"/>
    <mergeCell ref="B21:B24"/>
    <mergeCell ref="C21:C24"/>
    <mergeCell ref="D21:D24"/>
    <mergeCell ref="F21:F24"/>
    <mergeCell ref="G21:G24"/>
    <mergeCell ref="D1:F1"/>
    <mergeCell ref="G1:I1"/>
    <mergeCell ref="D2:F2"/>
    <mergeCell ref="G2:I2"/>
    <mergeCell ref="B14:C14"/>
    <mergeCell ref="I8:I11"/>
    <mergeCell ref="B2:C2"/>
    <mergeCell ref="E5:G17"/>
  </mergeCells>
  <dataValidations disablePrompts="1" count="1">
    <dataValidation type="list" allowBlank="1" showInputMessage="1" showErrorMessage="1" sqref="B5" xr:uid="{F55E4E84-583F-48DC-BFBE-F51BBA51D78F}">
      <formula1>renk</formula1>
    </dataValidation>
  </dataValidations>
  <pageMargins left="0.25" right="0.25" top="0.75" bottom="0.75" header="0.3" footer="0.3"/>
  <pageSetup paperSize="9" scale="6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>
    <pageSetUpPr fitToPage="1"/>
  </sheetPr>
  <dimension ref="A1:K61"/>
  <sheetViews>
    <sheetView workbookViewId="0">
      <selection activeCell="D10" sqref="D10"/>
    </sheetView>
  </sheetViews>
  <sheetFormatPr defaultColWidth="9" defaultRowHeight="14.5" x14ac:dyDescent="0.25"/>
  <cols>
    <col min="1" max="1" width="11.08984375" style="4" customWidth="1"/>
    <col min="2" max="2" width="11.7265625" style="4" customWidth="1"/>
    <col min="3" max="3" width="13.7265625" style="4" customWidth="1"/>
    <col min="4" max="4" width="13.26953125" style="4" customWidth="1"/>
    <col min="5" max="5" width="13.08984375" style="4" customWidth="1"/>
    <col min="6" max="6" width="12.7265625" style="4" customWidth="1"/>
    <col min="7" max="7" width="14.453125" style="4" customWidth="1"/>
    <col min="8" max="8" width="14" style="4" customWidth="1"/>
    <col min="9" max="9" width="11.453125" style="4" customWidth="1"/>
    <col min="10" max="10" width="13" style="4" customWidth="1"/>
    <col min="11" max="11" width="12.08984375" style="4" customWidth="1"/>
    <col min="12" max="16384" width="9" style="4"/>
  </cols>
  <sheetData>
    <row r="1" spans="1:9" x14ac:dyDescent="0.25">
      <c r="D1" s="131" t="s">
        <v>0</v>
      </c>
      <c r="E1" s="132"/>
      <c r="F1" s="132"/>
      <c r="G1" s="131" t="s">
        <v>1</v>
      </c>
      <c r="H1" s="131"/>
      <c r="I1" s="131"/>
    </row>
    <row r="2" spans="1:9" ht="16" x14ac:dyDescent="0.4">
      <c r="A2" s="21" t="s">
        <v>2</v>
      </c>
      <c r="B2" s="87">
        <f ca="1">TODAY()</f>
        <v>46006</v>
      </c>
      <c r="C2" s="88"/>
      <c r="D2" s="145" t="s">
        <v>100</v>
      </c>
      <c r="E2" s="86"/>
      <c r="F2" s="86"/>
      <c r="G2" s="86"/>
      <c r="H2" s="86"/>
      <c r="I2" s="86"/>
    </row>
    <row r="5" spans="1:9" x14ac:dyDescent="0.25">
      <c r="A5" s="26" t="s">
        <v>4</v>
      </c>
      <c r="B5" s="25" t="s">
        <v>5</v>
      </c>
      <c r="E5" s="134" t="e" vm="17">
        <v>#VALUE!</v>
      </c>
      <c r="F5" s="135"/>
      <c r="G5" s="136"/>
    </row>
    <row r="6" spans="1:9" x14ac:dyDescent="0.25">
      <c r="A6" s="26" t="s">
        <v>6</v>
      </c>
      <c r="B6" s="25" t="s">
        <v>7</v>
      </c>
      <c r="E6" s="137"/>
      <c r="F6" s="138"/>
      <c r="G6" s="139"/>
    </row>
    <row r="7" spans="1:9" x14ac:dyDescent="0.25">
      <c r="A7" s="26" t="s">
        <v>8</v>
      </c>
      <c r="B7" s="25">
        <v>180.5</v>
      </c>
      <c r="E7" s="137"/>
      <c r="F7" s="138"/>
      <c r="G7" s="139"/>
    </row>
    <row r="8" spans="1:9" ht="13.9" customHeight="1" x14ac:dyDescent="0.25">
      <c r="A8" s="26" t="s">
        <v>10</v>
      </c>
      <c r="B8" s="25">
        <v>84</v>
      </c>
      <c r="E8" s="137"/>
      <c r="F8" s="138"/>
      <c r="G8" s="139"/>
    </row>
    <row r="9" spans="1:9" x14ac:dyDescent="0.25">
      <c r="E9" s="137"/>
      <c r="F9" s="138"/>
      <c r="G9" s="139"/>
    </row>
    <row r="10" spans="1:9" x14ac:dyDescent="0.25">
      <c r="E10" s="137"/>
      <c r="F10" s="138"/>
      <c r="G10" s="139"/>
      <c r="I10" s="51"/>
    </row>
    <row r="11" spans="1:9" x14ac:dyDescent="0.25">
      <c r="E11" s="137"/>
      <c r="F11" s="138"/>
      <c r="G11" s="139"/>
    </row>
    <row r="12" spans="1:9" x14ac:dyDescent="0.25">
      <c r="E12" s="137"/>
      <c r="F12" s="138"/>
      <c r="G12" s="139"/>
    </row>
    <row r="13" spans="1:9" x14ac:dyDescent="0.25">
      <c r="E13" s="137"/>
      <c r="F13" s="138"/>
      <c r="G13" s="139"/>
    </row>
    <row r="14" spans="1:9" ht="16" x14ac:dyDescent="0.25">
      <c r="B14" s="133" t="s">
        <v>42</v>
      </c>
      <c r="C14" s="133"/>
      <c r="E14" s="137"/>
      <c r="F14" s="138"/>
      <c r="G14" s="139"/>
    </row>
    <row r="15" spans="1:9" x14ac:dyDescent="0.25">
      <c r="E15" s="137"/>
      <c r="F15" s="138"/>
      <c r="G15" s="139"/>
    </row>
    <row r="16" spans="1:9" x14ac:dyDescent="0.25">
      <c r="E16" s="137"/>
      <c r="F16" s="138"/>
      <c r="G16" s="139"/>
    </row>
    <row r="17" spans="1:9" x14ac:dyDescent="0.25">
      <c r="E17" s="140"/>
      <c r="F17" s="141"/>
      <c r="G17" s="142"/>
    </row>
    <row r="20" spans="1:9" ht="16" x14ac:dyDescent="0.25">
      <c r="D20" s="33" t="s">
        <v>43</v>
      </c>
      <c r="E20" s="33" t="s">
        <v>15</v>
      </c>
      <c r="F20" s="33" t="s">
        <v>44</v>
      </c>
      <c r="G20" s="33" t="s">
        <v>45</v>
      </c>
      <c r="H20" s="33" t="s">
        <v>46</v>
      </c>
    </row>
    <row r="21" spans="1:9" x14ac:dyDescent="0.25">
      <c r="D21" s="86" t="e" vm="18">
        <v>#VALUE!</v>
      </c>
      <c r="E21" s="147" t="e" vm="19">
        <v>#VALUE!</v>
      </c>
      <c r="F21" s="147" t="e" vm="20">
        <v>#VALUE!</v>
      </c>
      <c r="G21" s="147" t="e" vm="21">
        <v>#VALUE!</v>
      </c>
      <c r="H21" s="147" t="e" vm="22">
        <v>#VALUE!</v>
      </c>
    </row>
    <row r="22" spans="1:9" x14ac:dyDescent="0.25">
      <c r="D22" s="86"/>
      <c r="E22" s="150"/>
      <c r="F22" s="150"/>
      <c r="G22" s="150"/>
      <c r="H22" s="150"/>
    </row>
    <row r="23" spans="1:9" x14ac:dyDescent="0.25">
      <c r="D23" s="86"/>
      <c r="E23" s="150"/>
      <c r="F23" s="150"/>
      <c r="G23" s="150"/>
      <c r="H23" s="150"/>
    </row>
    <row r="24" spans="1:9" x14ac:dyDescent="0.25">
      <c r="D24" s="86"/>
      <c r="E24" s="151"/>
      <c r="F24" s="151"/>
      <c r="G24" s="151"/>
      <c r="H24" s="151"/>
    </row>
    <row r="25" spans="1:9" x14ac:dyDescent="0.25">
      <c r="D25" s="16">
        <f>B8-6</f>
        <v>78</v>
      </c>
      <c r="E25" s="16">
        <f>(B8/2)-9.5</f>
        <v>32.5</v>
      </c>
      <c r="F25" s="16">
        <f>(B7-5)</f>
        <v>175.5</v>
      </c>
      <c r="G25" s="16">
        <f>(B7)</f>
        <v>180.5</v>
      </c>
      <c r="H25" s="16">
        <f>B7</f>
        <v>180.5</v>
      </c>
    </row>
    <row r="26" spans="1:9" x14ac:dyDescent="0.25">
      <c r="D26" s="16" t="s">
        <v>12</v>
      </c>
      <c r="E26" s="16" t="s">
        <v>36</v>
      </c>
      <c r="F26" s="16" t="s">
        <v>36</v>
      </c>
      <c r="G26" s="16" t="s">
        <v>12</v>
      </c>
      <c r="H26" s="16" t="s">
        <v>12</v>
      </c>
    </row>
    <row r="29" spans="1:9" x14ac:dyDescent="0.25">
      <c r="F29" s="99" t="s">
        <v>21</v>
      </c>
      <c r="G29" s="100"/>
      <c r="I29" s="46" t="s">
        <v>32</v>
      </c>
    </row>
    <row r="30" spans="1:9" x14ac:dyDescent="0.25">
      <c r="A30" s="43" t="s">
        <v>22</v>
      </c>
      <c r="B30" s="16">
        <f>(B7-8)</f>
        <v>172.5</v>
      </c>
      <c r="C30" s="16">
        <f>(B8/2)-8</f>
        <v>34</v>
      </c>
      <c r="D30" s="16" t="s">
        <v>23</v>
      </c>
      <c r="F30" s="119" t="s">
        <v>101</v>
      </c>
      <c r="G30" s="120"/>
      <c r="H30" s="121"/>
      <c r="I30" s="125">
        <v>3500</v>
      </c>
    </row>
    <row r="31" spans="1:9" x14ac:dyDescent="0.25">
      <c r="A31" s="43" t="s">
        <v>22</v>
      </c>
      <c r="B31" s="16">
        <f>(B7-8)</f>
        <v>172.5</v>
      </c>
      <c r="C31" s="16">
        <f>(B8/2)-8</f>
        <v>34</v>
      </c>
      <c r="D31" s="16" t="s">
        <v>23</v>
      </c>
      <c r="F31" s="122"/>
      <c r="G31" s="123"/>
      <c r="H31" s="124"/>
      <c r="I31" s="126"/>
    </row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>İlhan</v>
      </c>
      <c r="H36" s="103"/>
      <c r="I36" s="103"/>
      <c r="J36" s="103"/>
      <c r="K36" s="50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  <c r="K37"/>
    </row>
    <row r="38" spans="1:11" ht="18.5" x14ac:dyDescent="0.35">
      <c r="A38" s="5"/>
      <c r="B38" s="93"/>
      <c r="C38" s="93"/>
      <c r="D38" s="93"/>
      <c r="E38" s="93"/>
      <c r="F38" s="23" t="s">
        <v>27</v>
      </c>
      <c r="G38" s="152">
        <f>G2</f>
        <v>0</v>
      </c>
      <c r="H38" s="152"/>
      <c r="I38" s="152"/>
      <c r="J38" s="5"/>
      <c r="K38"/>
    </row>
    <row r="39" spans="1:11" ht="2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  <c r="K39"/>
    </row>
    <row r="40" spans="1:11" ht="15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  <c r="K40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  <c r="K41"/>
    </row>
    <row r="42" spans="1:11" ht="14.5" customHeight="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 s="5"/>
    </row>
    <row r="46" spans="1:11" ht="15" x14ac:dyDescent="0.35">
      <c r="A46" s="5"/>
      <c r="B46" s="101" t="str">
        <f>B14</f>
        <v>PLEKSİ KATLANIR KABİN</v>
      </c>
      <c r="C46" s="101"/>
      <c r="D46" s="101">
        <f>B7</f>
        <v>180.5</v>
      </c>
      <c r="E46" s="118">
        <f>B8</f>
        <v>84</v>
      </c>
      <c r="F46" s="101" t="str">
        <f>F30</f>
        <v>Katlanır Parlak Profil Pleksi</v>
      </c>
      <c r="G46" s="101"/>
      <c r="H46" s="101"/>
      <c r="I46" s="128">
        <f>I30</f>
        <v>3500</v>
      </c>
      <c r="J46" s="5"/>
      <c r="K46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  <c r="K47"/>
    </row>
    <row r="48" spans="1:11" ht="15" x14ac:dyDescent="0.35">
      <c r="A48" s="5"/>
      <c r="B48" s="149" t="s">
        <v>102</v>
      </c>
      <c r="C48" s="101"/>
      <c r="D48" s="101">
        <v>180.5</v>
      </c>
      <c r="E48" s="101">
        <v>34</v>
      </c>
      <c r="F48" s="149" t="s">
        <v>103</v>
      </c>
      <c r="G48" s="101"/>
      <c r="H48" s="101"/>
      <c r="I48" s="101"/>
      <c r="J48" s="5"/>
      <c r="K48"/>
    </row>
    <row r="49" spans="1:11" ht="15" x14ac:dyDescent="0.35">
      <c r="A49" s="5"/>
      <c r="B49" s="101"/>
      <c r="C49" s="101"/>
      <c r="D49" s="101"/>
      <c r="E49" s="101"/>
      <c r="F49" s="101"/>
      <c r="G49" s="101"/>
      <c r="H49" s="101"/>
      <c r="I49" s="101"/>
      <c r="J49"/>
      <c r="K49" s="3"/>
    </row>
    <row r="50" spans="1:11" ht="15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  <c r="K50"/>
    </row>
    <row r="51" spans="1:11" ht="47.5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130" t="str">
        <f>G36</f>
        <v>İlhan</v>
      </c>
      <c r="H51" s="130"/>
      <c r="I51" s="130"/>
      <c r="J51" s="130"/>
      <c r="K51" s="49"/>
    </row>
    <row r="52" spans="1:11" ht="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/>
    </row>
    <row r="53" spans="1:11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>
        <f>G38</f>
        <v>0</v>
      </c>
      <c r="H53" s="129"/>
      <c r="I53" s="129"/>
      <c r="J53" s="5"/>
      <c r="K53"/>
    </row>
    <row r="54" spans="1:11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  <c r="K54"/>
    </row>
    <row r="55" spans="1:11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  <c r="K55"/>
    </row>
    <row r="56" spans="1:11" ht="15" x14ac:dyDescent="0.35">
      <c r="A56" s="5"/>
      <c r="B56"/>
      <c r="C56"/>
      <c r="D56"/>
      <c r="E56"/>
      <c r="F56" s="5"/>
      <c r="G56"/>
      <c r="H56"/>
      <c r="I56"/>
      <c r="J56" s="5"/>
      <c r="K56"/>
    </row>
    <row r="57" spans="1:11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1" x14ac:dyDescent="0.35">
      <c r="A58" s="5"/>
      <c r="B58" s="101" t="str">
        <f>B46</f>
        <v>PLEKSİ KATLANIR KABİN</v>
      </c>
      <c r="C58" s="101"/>
      <c r="D58" s="101">
        <f>B7</f>
        <v>180.5</v>
      </c>
      <c r="E58" s="118">
        <f>B8</f>
        <v>84</v>
      </c>
      <c r="F58" s="101" t="str">
        <f>F30</f>
        <v>Katlanır Parlak Profil Pleksi</v>
      </c>
      <c r="G58" s="101"/>
      <c r="H58" s="101"/>
      <c r="I58" s="128">
        <f>I30</f>
        <v>3500</v>
      </c>
      <c r="J58" s="5"/>
      <c r="K58" s="5"/>
    </row>
    <row r="59" spans="1:11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1" x14ac:dyDescent="0.35">
      <c r="A60" s="5"/>
      <c r="B60" s="101" t="str">
        <f>B48</f>
        <v>Yan Pano</v>
      </c>
      <c r="C60" s="101"/>
      <c r="D60" s="101">
        <f>D48</f>
        <v>180.5</v>
      </c>
      <c r="E60" s="101">
        <f>E48</f>
        <v>34</v>
      </c>
      <c r="F60" s="101" t="str">
        <f>F48</f>
        <v>Parlak Profil</v>
      </c>
      <c r="G60" s="101"/>
      <c r="H60" s="101"/>
      <c r="I60" s="101">
        <f>I48</f>
        <v>0</v>
      </c>
      <c r="J60" s="5"/>
      <c r="K60" s="5"/>
    </row>
    <row r="61" spans="1:11" ht="15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  <c r="K61"/>
    </row>
  </sheetData>
  <mergeCells count="49">
    <mergeCell ref="I30:I31"/>
    <mergeCell ref="F29:G29"/>
    <mergeCell ref="B36:E38"/>
    <mergeCell ref="G38:I38"/>
    <mergeCell ref="B41:E43"/>
    <mergeCell ref="H41:I41"/>
    <mergeCell ref="G36:J36"/>
    <mergeCell ref="F30:H31"/>
    <mergeCell ref="D1:F1"/>
    <mergeCell ref="G1:I1"/>
    <mergeCell ref="D2:F2"/>
    <mergeCell ref="G2:I2"/>
    <mergeCell ref="B14:C14"/>
    <mergeCell ref="B2:C2"/>
    <mergeCell ref="H21:H24"/>
    <mergeCell ref="E21:E24"/>
    <mergeCell ref="E5:G17"/>
    <mergeCell ref="D21:D24"/>
    <mergeCell ref="F21:F24"/>
    <mergeCell ref="G21:G24"/>
    <mergeCell ref="B45:C45"/>
    <mergeCell ref="F45:H45"/>
    <mergeCell ref="B46:C47"/>
    <mergeCell ref="D46:D47"/>
    <mergeCell ref="E46:E47"/>
    <mergeCell ref="F46:H47"/>
    <mergeCell ref="G53:I53"/>
    <mergeCell ref="H55:I55"/>
    <mergeCell ref="I46:I47"/>
    <mergeCell ref="B48:C49"/>
    <mergeCell ref="D48:D49"/>
    <mergeCell ref="E48:E49"/>
    <mergeCell ref="F48:H49"/>
    <mergeCell ref="I48:I49"/>
    <mergeCell ref="G51:J51"/>
    <mergeCell ref="B51:E51"/>
    <mergeCell ref="B53:E55"/>
    <mergeCell ref="I58:I59"/>
    <mergeCell ref="B60:C61"/>
    <mergeCell ref="D60:D61"/>
    <mergeCell ref="E60:E61"/>
    <mergeCell ref="F60:H61"/>
    <mergeCell ref="I60:I61"/>
    <mergeCell ref="B57:C57"/>
    <mergeCell ref="F57:H57"/>
    <mergeCell ref="B58:C59"/>
    <mergeCell ref="D58:D59"/>
    <mergeCell ref="E58:E59"/>
    <mergeCell ref="F58:H59"/>
  </mergeCells>
  <dataValidations count="1">
    <dataValidation type="list" allowBlank="1" showInputMessage="1" showErrorMessage="1" sqref="B5" xr:uid="{B903FF6D-F389-4D7C-8B71-BA416A00C4EB}">
      <formula1>renk</formula1>
    </dataValidation>
  </dataValidations>
  <pageMargins left="0.25" right="0.25" top="0.75" bottom="0.75" header="0.29861111111111099" footer="0.29861111111111099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>
    <pageSetUpPr fitToPage="1"/>
  </sheetPr>
  <dimension ref="A1:K61"/>
  <sheetViews>
    <sheetView workbookViewId="0">
      <selection activeCell="D60" sqref="D60:D61"/>
    </sheetView>
  </sheetViews>
  <sheetFormatPr defaultColWidth="8.6328125" defaultRowHeight="14.5" x14ac:dyDescent="0.25"/>
  <cols>
    <col min="1" max="1" width="11.453125" style="4" customWidth="1"/>
    <col min="2" max="2" width="12.453125" style="4" customWidth="1"/>
    <col min="3" max="3" width="14.26953125" style="4" customWidth="1"/>
    <col min="4" max="4" width="12.36328125" style="4" customWidth="1"/>
    <col min="5" max="5" width="13.453125" style="4" customWidth="1"/>
    <col min="6" max="6" width="14" style="4" customWidth="1"/>
    <col min="7" max="7" width="15.453125" style="4" customWidth="1"/>
    <col min="8" max="8" width="12.36328125" style="4" customWidth="1"/>
    <col min="9" max="9" width="14.7265625" style="4" customWidth="1"/>
    <col min="10" max="10" width="11.453125" style="4" customWidth="1"/>
    <col min="11" max="16384" width="8.6328125" style="4"/>
  </cols>
  <sheetData>
    <row r="1" spans="1:10" x14ac:dyDescent="0.25">
      <c r="D1" s="131" t="s">
        <v>0</v>
      </c>
      <c r="E1" s="132"/>
      <c r="F1" s="132"/>
      <c r="G1" s="131" t="s">
        <v>1</v>
      </c>
      <c r="H1" s="131"/>
      <c r="I1" s="131"/>
    </row>
    <row r="2" spans="1:10" ht="16" x14ac:dyDescent="0.4">
      <c r="A2" s="21" t="s">
        <v>2</v>
      </c>
      <c r="B2" s="87">
        <f ca="1">TODAY()</f>
        <v>46006</v>
      </c>
      <c r="C2" s="88"/>
      <c r="D2" s="145" t="s">
        <v>104</v>
      </c>
      <c r="E2" s="86"/>
      <c r="F2" s="86"/>
      <c r="G2" s="86"/>
      <c r="H2" s="86"/>
      <c r="I2" s="86"/>
    </row>
    <row r="5" spans="1:10" x14ac:dyDescent="0.25">
      <c r="A5" s="26" t="s">
        <v>4</v>
      </c>
      <c r="B5" s="25" t="s">
        <v>33</v>
      </c>
      <c r="E5" s="134" t="e" vm="23">
        <v>#VALUE!</v>
      </c>
      <c r="F5" s="135"/>
      <c r="G5" s="136"/>
      <c r="H5" s="137" t="e" vm="24">
        <f>_xlfn.XLOOKUP(B6,'Köşe Kabin İçin'!F2:F9,'Köşe Kabin İçin'!G2:G9,"Not found")</f>
        <v>#VALUE!</v>
      </c>
      <c r="I5" s="138"/>
      <c r="J5" s="138"/>
    </row>
    <row r="6" spans="1:10" x14ac:dyDescent="0.25">
      <c r="A6" s="26" t="s">
        <v>6</v>
      </c>
      <c r="B6" s="25">
        <v>1004</v>
      </c>
      <c r="E6" s="137"/>
      <c r="F6" s="138"/>
      <c r="G6" s="139"/>
      <c r="H6" s="137"/>
      <c r="I6" s="138"/>
      <c r="J6" s="138"/>
    </row>
    <row r="7" spans="1:10" x14ac:dyDescent="0.25">
      <c r="A7" s="26" t="s">
        <v>8</v>
      </c>
      <c r="B7" s="25">
        <v>191</v>
      </c>
      <c r="E7" s="137"/>
      <c r="F7" s="138"/>
      <c r="G7" s="139"/>
      <c r="H7" s="137"/>
      <c r="I7" s="138"/>
      <c r="J7" s="138"/>
    </row>
    <row r="8" spans="1:10" x14ac:dyDescent="0.25">
      <c r="A8" s="26" t="s">
        <v>10</v>
      </c>
      <c r="B8" s="25">
        <v>80</v>
      </c>
      <c r="E8" s="137"/>
      <c r="F8" s="138"/>
      <c r="G8" s="139"/>
      <c r="H8" s="137"/>
      <c r="I8" s="138"/>
      <c r="J8" s="138"/>
    </row>
    <row r="9" spans="1:10" x14ac:dyDescent="0.25">
      <c r="E9" s="137"/>
      <c r="F9" s="138"/>
      <c r="G9" s="139"/>
      <c r="H9" s="137"/>
      <c r="I9" s="138"/>
      <c r="J9" s="138"/>
    </row>
    <row r="10" spans="1:10" x14ac:dyDescent="0.25">
      <c r="E10" s="137"/>
      <c r="F10" s="138"/>
      <c r="G10" s="139"/>
      <c r="H10" s="137"/>
      <c r="I10" s="138"/>
      <c r="J10" s="138"/>
    </row>
    <row r="11" spans="1:10" x14ac:dyDescent="0.25">
      <c r="E11" s="137"/>
      <c r="F11" s="138"/>
      <c r="G11" s="139"/>
      <c r="H11" s="137"/>
      <c r="I11" s="138"/>
      <c r="J11" s="138"/>
    </row>
    <row r="12" spans="1:10" x14ac:dyDescent="0.25">
      <c r="E12" s="137"/>
      <c r="F12" s="138"/>
      <c r="G12" s="139"/>
      <c r="H12" s="137"/>
      <c r="I12" s="138"/>
      <c r="J12" s="138"/>
    </row>
    <row r="13" spans="1:10" ht="16" x14ac:dyDescent="0.25">
      <c r="B13" s="133" t="s">
        <v>47</v>
      </c>
      <c r="C13" s="133"/>
      <c r="E13" s="137"/>
      <c r="F13" s="138"/>
      <c r="G13" s="139"/>
      <c r="H13" s="137"/>
      <c r="I13" s="138"/>
      <c r="J13" s="138"/>
    </row>
    <row r="14" spans="1:10" x14ac:dyDescent="0.25">
      <c r="E14" s="137"/>
      <c r="F14" s="138"/>
      <c r="G14" s="139"/>
      <c r="H14" s="137"/>
      <c r="I14" s="138"/>
      <c r="J14" s="138"/>
    </row>
    <row r="15" spans="1:10" x14ac:dyDescent="0.25">
      <c r="E15" s="137"/>
      <c r="F15" s="138"/>
      <c r="G15" s="139"/>
      <c r="H15" s="137"/>
      <c r="I15" s="138"/>
      <c r="J15" s="138"/>
    </row>
    <row r="16" spans="1:10" x14ac:dyDescent="0.25">
      <c r="E16" s="137"/>
      <c r="F16" s="138"/>
      <c r="G16" s="139"/>
      <c r="H16" s="137"/>
      <c r="I16" s="138"/>
      <c r="J16" s="138"/>
    </row>
    <row r="17" spans="1:10" x14ac:dyDescent="0.25">
      <c r="E17" s="140"/>
      <c r="F17" s="141"/>
      <c r="G17" s="142"/>
      <c r="H17" s="137"/>
      <c r="I17" s="138"/>
      <c r="J17" s="138"/>
    </row>
    <row r="20" spans="1:10" ht="16" x14ac:dyDescent="0.25">
      <c r="D20" s="33" t="s">
        <v>43</v>
      </c>
      <c r="E20" s="33" t="s">
        <v>15</v>
      </c>
      <c r="F20" s="33" t="s">
        <v>44</v>
      </c>
      <c r="G20" s="33" t="s">
        <v>45</v>
      </c>
      <c r="H20" s="33" t="s">
        <v>46</v>
      </c>
    </row>
    <row r="21" spans="1:10" x14ac:dyDescent="0.25">
      <c r="D21" s="86" t="e" vm="18">
        <v>#VALUE!</v>
      </c>
      <c r="E21" s="147" t="e" vm="19">
        <v>#VALUE!</v>
      </c>
      <c r="F21" s="147" t="e" vm="20">
        <v>#VALUE!</v>
      </c>
      <c r="G21" s="147" t="e" vm="21">
        <v>#VALUE!</v>
      </c>
      <c r="H21" s="147" t="e" vm="22">
        <v>#VALUE!</v>
      </c>
    </row>
    <row r="22" spans="1:10" x14ac:dyDescent="0.25">
      <c r="D22" s="86"/>
      <c r="E22" s="150"/>
      <c r="F22" s="150"/>
      <c r="G22" s="150"/>
      <c r="H22" s="150"/>
    </row>
    <row r="23" spans="1:10" x14ac:dyDescent="0.25">
      <c r="D23" s="86"/>
      <c r="E23" s="150"/>
      <c r="F23" s="150"/>
      <c r="G23" s="150"/>
      <c r="H23" s="150"/>
    </row>
    <row r="24" spans="1:10" x14ac:dyDescent="0.25">
      <c r="D24" s="86"/>
      <c r="E24" s="151"/>
      <c r="F24" s="151"/>
      <c r="G24" s="151"/>
      <c r="H24" s="151"/>
    </row>
    <row r="25" spans="1:10" x14ac:dyDescent="0.25">
      <c r="D25" s="16">
        <f>B8-6</f>
        <v>74</v>
      </c>
      <c r="E25" s="16">
        <f>(B8/2)-9.5</f>
        <v>30.5</v>
      </c>
      <c r="F25" s="16">
        <f>(B7-5)</f>
        <v>186</v>
      </c>
      <c r="G25" s="16">
        <f>(B7)</f>
        <v>191</v>
      </c>
      <c r="H25" s="16">
        <f>B7</f>
        <v>191</v>
      </c>
    </row>
    <row r="26" spans="1:10" x14ac:dyDescent="0.25">
      <c r="D26" s="16" t="s">
        <v>12</v>
      </c>
      <c r="E26" s="16" t="s">
        <v>36</v>
      </c>
      <c r="F26" s="16" t="s">
        <v>36</v>
      </c>
      <c r="G26" s="16" t="s">
        <v>12</v>
      </c>
      <c r="H26" s="16" t="s">
        <v>12</v>
      </c>
    </row>
    <row r="29" spans="1:10" x14ac:dyDescent="0.25">
      <c r="A29" s="43" t="s">
        <v>22</v>
      </c>
      <c r="B29" s="16">
        <f>(B7-8.5)</f>
        <v>182.5</v>
      </c>
      <c r="C29" s="16">
        <f>(B8/2)-8</f>
        <v>32</v>
      </c>
      <c r="D29" s="16" t="s">
        <v>23</v>
      </c>
      <c r="F29" s="99" t="s">
        <v>21</v>
      </c>
      <c r="G29" s="100"/>
      <c r="I29" s="46" t="s">
        <v>32</v>
      </c>
    </row>
    <row r="30" spans="1:10" x14ac:dyDescent="0.25">
      <c r="A30" s="43" t="s">
        <v>22</v>
      </c>
      <c r="B30" s="16">
        <f>(B7-8.5)</f>
        <v>182.5</v>
      </c>
      <c r="C30" s="16">
        <f>(B8/2)-8</f>
        <v>32</v>
      </c>
      <c r="D30" s="16" t="s">
        <v>23</v>
      </c>
      <c r="F30" s="119" t="s">
        <v>105</v>
      </c>
      <c r="G30" s="120"/>
      <c r="H30" s="121"/>
      <c r="I30" s="125">
        <v>7000</v>
      </c>
    </row>
    <row r="31" spans="1:10" x14ac:dyDescent="0.25">
      <c r="F31" s="122"/>
      <c r="G31" s="123"/>
      <c r="H31" s="124"/>
      <c r="I31" s="126"/>
    </row>
    <row r="35" spans="1:11" ht="18.649999999999999" customHeight="1" x14ac:dyDescent="0.35">
      <c r="A35" s="5"/>
      <c r="B35" s="5"/>
      <c r="C35" s="5"/>
      <c r="D35" s="5"/>
      <c r="E35" s="5"/>
      <c r="F35" s="20"/>
      <c r="G35" s="50"/>
      <c r="H35" s="50"/>
      <c r="I35" s="50"/>
      <c r="J35" s="50"/>
      <c r="K35" s="50"/>
    </row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>Burçin</v>
      </c>
      <c r="H36" s="103"/>
      <c r="I36" s="103"/>
      <c r="J36" s="103"/>
      <c r="K36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  <c r="K37"/>
    </row>
    <row r="38" spans="1:11" ht="18.5" x14ac:dyDescent="0.35">
      <c r="A38" s="5"/>
      <c r="B38" s="93"/>
      <c r="C38" s="93"/>
      <c r="D38" s="93"/>
      <c r="E38" s="93"/>
      <c r="F38" s="23" t="s">
        <v>27</v>
      </c>
      <c r="G38" s="152">
        <f>G2</f>
        <v>0</v>
      </c>
      <c r="H38" s="152"/>
      <c r="I38" s="152"/>
      <c r="J38" s="5"/>
      <c r="K38"/>
    </row>
    <row r="39" spans="1:11" ht="2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  <c r="K39"/>
    </row>
    <row r="40" spans="1:11" ht="15.65" customHeight="1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  <c r="K40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  <c r="K41" s="5"/>
    </row>
    <row r="42" spans="1:11" ht="14.5" customHeight="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5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/>
    </row>
    <row r="46" spans="1:11" ht="15" x14ac:dyDescent="0.35">
      <c r="A46" s="5"/>
      <c r="B46" s="101" t="str">
        <f>B13</f>
        <v>CAM KATLANIR KABİN</v>
      </c>
      <c r="C46" s="101"/>
      <c r="D46" s="101">
        <f>B7</f>
        <v>191</v>
      </c>
      <c r="E46" s="118">
        <f>B8</f>
        <v>80</v>
      </c>
      <c r="F46" s="101" t="str">
        <f>F30</f>
        <v>Siyah Profil 1003 Desen</v>
      </c>
      <c r="G46" s="101"/>
      <c r="H46" s="101"/>
      <c r="I46" s="128">
        <f>I30</f>
        <v>7000</v>
      </c>
      <c r="J46" s="5"/>
      <c r="K46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  <c r="K47"/>
    </row>
    <row r="48" spans="1:11" ht="15" x14ac:dyDescent="0.35">
      <c r="A48" s="5"/>
      <c r="B48" s="149"/>
      <c r="C48" s="101"/>
      <c r="D48" s="101"/>
      <c r="E48" s="101"/>
      <c r="F48" s="149"/>
      <c r="G48" s="101"/>
      <c r="H48" s="101"/>
      <c r="I48" s="101"/>
      <c r="J48" s="5"/>
      <c r="K48" s="3"/>
    </row>
    <row r="49" spans="1:11" ht="15" x14ac:dyDescent="0.35">
      <c r="A49" s="5"/>
      <c r="B49" s="101"/>
      <c r="C49" s="101"/>
      <c r="D49" s="101"/>
      <c r="E49" s="101"/>
      <c r="F49" s="101"/>
      <c r="G49" s="101"/>
      <c r="H49" s="101"/>
      <c r="I49" s="101"/>
      <c r="J49"/>
      <c r="K49"/>
    </row>
    <row r="50" spans="1:11" ht="47.5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  <c r="K50" s="49"/>
    </row>
    <row r="51" spans="1:11" ht="47.5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130" t="str">
        <f>G36</f>
        <v>Burçin</v>
      </c>
      <c r="H51" s="130"/>
      <c r="I51" s="130"/>
      <c r="J51" s="130"/>
      <c r="K51"/>
    </row>
    <row r="52" spans="1:11" ht="18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/>
    </row>
    <row r="53" spans="1:11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>
        <f>G38</f>
        <v>0</v>
      </c>
      <c r="H53" s="129"/>
      <c r="I53" s="129"/>
      <c r="J53" s="5"/>
      <c r="K53"/>
    </row>
    <row r="54" spans="1:11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  <c r="K54"/>
    </row>
    <row r="55" spans="1:11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  <c r="K55"/>
    </row>
    <row r="56" spans="1:11" ht="15" x14ac:dyDescent="0.35">
      <c r="A56" s="5"/>
      <c r="B56"/>
      <c r="C56"/>
      <c r="D56"/>
      <c r="E56"/>
      <c r="F56" s="5"/>
      <c r="G56"/>
      <c r="H56"/>
      <c r="I56"/>
      <c r="J56" s="5"/>
      <c r="K56" s="5"/>
    </row>
    <row r="57" spans="1:11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1" x14ac:dyDescent="0.35">
      <c r="A58" s="5"/>
      <c r="B58" s="101" t="str">
        <f>B46</f>
        <v>CAM KATLANIR KABİN</v>
      </c>
      <c r="C58" s="101"/>
      <c r="D58" s="101">
        <f>D46</f>
        <v>191</v>
      </c>
      <c r="E58" s="118">
        <f>E46</f>
        <v>80</v>
      </c>
      <c r="F58" s="101" t="str">
        <f>F30</f>
        <v>Siyah Profil 1003 Desen</v>
      </c>
      <c r="G58" s="101"/>
      <c r="H58" s="101"/>
      <c r="I58" s="128">
        <f>I30</f>
        <v>7000</v>
      </c>
      <c r="J58" s="5"/>
      <c r="K58" s="5"/>
    </row>
    <row r="59" spans="1:11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1" ht="15" x14ac:dyDescent="0.35">
      <c r="A60" s="5"/>
      <c r="B60" s="101"/>
      <c r="C60" s="101"/>
      <c r="D60" s="101"/>
      <c r="E60" s="101"/>
      <c r="F60" s="101"/>
      <c r="G60" s="101"/>
      <c r="H60" s="101"/>
      <c r="I60" s="101"/>
      <c r="J60" s="5"/>
      <c r="K60"/>
    </row>
    <row r="61" spans="1:11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</row>
  </sheetData>
  <mergeCells count="50">
    <mergeCell ref="B60:C61"/>
    <mergeCell ref="D60:D61"/>
    <mergeCell ref="E60:E61"/>
    <mergeCell ref="F60:H61"/>
    <mergeCell ref="I60:I61"/>
    <mergeCell ref="H5:J17"/>
    <mergeCell ref="B36:E38"/>
    <mergeCell ref="G36:J36"/>
    <mergeCell ref="G38:I38"/>
    <mergeCell ref="B41:E43"/>
    <mergeCell ref="H41:I41"/>
    <mergeCell ref="I30:I31"/>
    <mergeCell ref="B45:C45"/>
    <mergeCell ref="F45:H45"/>
    <mergeCell ref="B46:C47"/>
    <mergeCell ref="D46:D47"/>
    <mergeCell ref="E46:E47"/>
    <mergeCell ref="F46:H47"/>
    <mergeCell ref="D48:D49"/>
    <mergeCell ref="E48:E49"/>
    <mergeCell ref="F48:H49"/>
    <mergeCell ref="I48:I49"/>
    <mergeCell ref="E21:E24"/>
    <mergeCell ref="D21:D24"/>
    <mergeCell ref="F21:F24"/>
    <mergeCell ref="G21:G24"/>
    <mergeCell ref="F30:H31"/>
    <mergeCell ref="B51:E51"/>
    <mergeCell ref="G51:J51"/>
    <mergeCell ref="B53:E55"/>
    <mergeCell ref="D1:F1"/>
    <mergeCell ref="G1:I1"/>
    <mergeCell ref="D2:F2"/>
    <mergeCell ref="G2:I2"/>
    <mergeCell ref="F29:G29"/>
    <mergeCell ref="B13:C13"/>
    <mergeCell ref="B2:C2"/>
    <mergeCell ref="E5:G17"/>
    <mergeCell ref="G53:I53"/>
    <mergeCell ref="H55:I55"/>
    <mergeCell ref="I46:I47"/>
    <mergeCell ref="B48:C49"/>
    <mergeCell ref="H21:H24"/>
    <mergeCell ref="I58:I59"/>
    <mergeCell ref="B57:C57"/>
    <mergeCell ref="F57:H57"/>
    <mergeCell ref="B58:C59"/>
    <mergeCell ref="D58:D59"/>
    <mergeCell ref="E58:E59"/>
    <mergeCell ref="F58:H59"/>
  </mergeCells>
  <dataValidations count="2">
    <dataValidation type="list" allowBlank="1" showInputMessage="1" showErrorMessage="1" sqref="B6" xr:uid="{727B8210-9294-40B5-8EAE-57C358E20C43}">
      <formula1>DESENLER</formula1>
    </dataValidation>
    <dataValidation type="list" allowBlank="1" showInputMessage="1" showErrorMessage="1" sqref="B5" xr:uid="{EFB3D0CC-CDE9-43C8-876E-27BA63ABAE78}">
      <formula1>renk</formula1>
    </dataValidation>
  </dataValidations>
  <pageMargins left="0.25" right="0.25" top="0.75" bottom="0.75" header="0.3" footer="0.3"/>
  <pageSetup paperSize="9" scale="6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>
    <pageSetUpPr fitToPage="1"/>
  </sheetPr>
  <dimension ref="A1:K74"/>
  <sheetViews>
    <sheetView workbookViewId="0">
      <selection activeCell="H18" sqref="H18"/>
    </sheetView>
  </sheetViews>
  <sheetFormatPr defaultColWidth="9" defaultRowHeight="14.5" x14ac:dyDescent="0.25"/>
  <cols>
    <col min="1" max="1" width="11.08984375" style="4" customWidth="1"/>
    <col min="2" max="2" width="11.7265625" style="4" customWidth="1"/>
    <col min="3" max="3" width="11.90625" style="4" customWidth="1"/>
    <col min="4" max="4" width="12.453125" style="4" customWidth="1"/>
    <col min="5" max="5" width="15.453125" style="4" customWidth="1"/>
    <col min="6" max="6" width="14.453125" style="4" customWidth="1"/>
    <col min="7" max="7" width="13" style="4" customWidth="1"/>
    <col min="8" max="8" width="14" style="4" customWidth="1"/>
    <col min="9" max="9" width="12.90625" style="4" customWidth="1"/>
    <col min="10" max="10" width="13" style="4" customWidth="1"/>
    <col min="11" max="11" width="12.08984375" style="4" customWidth="1"/>
    <col min="12" max="16384" width="9" style="4"/>
  </cols>
  <sheetData>
    <row r="1" spans="1:10" x14ac:dyDescent="0.25">
      <c r="D1" s="131" t="s">
        <v>0</v>
      </c>
      <c r="E1" s="132"/>
      <c r="F1" s="132"/>
      <c r="G1" s="131" t="s">
        <v>1</v>
      </c>
      <c r="H1" s="131"/>
      <c r="I1" s="131"/>
    </row>
    <row r="2" spans="1:10" x14ac:dyDescent="0.35">
      <c r="A2" s="21" t="s">
        <v>2</v>
      </c>
      <c r="B2" s="153">
        <f ca="1">TODAY()</f>
        <v>46006</v>
      </c>
      <c r="C2" s="154"/>
      <c r="D2" s="145" t="s">
        <v>65</v>
      </c>
      <c r="E2" s="86"/>
      <c r="F2" s="86"/>
      <c r="G2" s="86" t="s">
        <v>66</v>
      </c>
      <c r="H2" s="86"/>
      <c r="I2" s="86"/>
    </row>
    <row r="5" spans="1:10" x14ac:dyDescent="0.25">
      <c r="A5" s="43" t="s">
        <v>4</v>
      </c>
      <c r="B5" s="25" t="s">
        <v>33</v>
      </c>
      <c r="E5" s="89" t="e" vm="25">
        <v>#VALUE!</v>
      </c>
      <c r="F5" s="90"/>
      <c r="G5" s="91"/>
      <c r="H5" s="137" t="e" vm="26">
        <f>_xlfn.XLOOKUP(B7,'Köşe Kabin İçin'!F1:F8,'Köşe Kabin İçin'!G1:G8,"Not found")</f>
        <v>#VALUE!</v>
      </c>
      <c r="I5" s="138"/>
      <c r="J5" s="138"/>
    </row>
    <row r="6" spans="1:10" x14ac:dyDescent="0.25">
      <c r="A6" s="43" t="s">
        <v>48</v>
      </c>
      <c r="B6" s="25" t="s">
        <v>49</v>
      </c>
      <c r="E6" s="92"/>
      <c r="F6" s="93"/>
      <c r="G6" s="94"/>
      <c r="H6" s="137"/>
      <c r="I6" s="138"/>
      <c r="J6" s="138"/>
    </row>
    <row r="7" spans="1:10" x14ac:dyDescent="0.25">
      <c r="A7" s="43" t="s">
        <v>6</v>
      </c>
      <c r="B7" s="25" t="s">
        <v>53</v>
      </c>
      <c r="E7" s="92"/>
      <c r="F7" s="93"/>
      <c r="G7" s="94"/>
      <c r="H7" s="137"/>
      <c r="I7" s="138"/>
      <c r="J7" s="138"/>
    </row>
    <row r="8" spans="1:10" x14ac:dyDescent="0.25">
      <c r="A8" s="43" t="s">
        <v>8</v>
      </c>
      <c r="B8" s="25">
        <v>190</v>
      </c>
      <c r="E8" s="92"/>
      <c r="F8" s="93"/>
      <c r="G8" s="94"/>
      <c r="H8" s="137"/>
      <c r="I8" s="138"/>
      <c r="J8" s="138"/>
    </row>
    <row r="9" spans="1:10" ht="13.9" customHeight="1" x14ac:dyDescent="0.25">
      <c r="A9" s="43" t="s">
        <v>10</v>
      </c>
      <c r="B9" s="25">
        <v>79</v>
      </c>
      <c r="E9" s="92"/>
      <c r="F9" s="93"/>
      <c r="G9" s="94"/>
      <c r="H9" s="137"/>
      <c r="I9" s="138"/>
      <c r="J9" s="138"/>
    </row>
    <row r="10" spans="1:10" x14ac:dyDescent="0.25">
      <c r="A10" s="43" t="s">
        <v>11</v>
      </c>
      <c r="B10" s="25">
        <v>85</v>
      </c>
      <c r="E10" s="92"/>
      <c r="F10" s="93"/>
      <c r="G10" s="94"/>
      <c r="H10" s="137"/>
      <c r="I10" s="138"/>
      <c r="J10" s="138"/>
    </row>
    <row r="11" spans="1:10" x14ac:dyDescent="0.25">
      <c r="E11" s="92"/>
      <c r="F11" s="93"/>
      <c r="G11" s="94"/>
      <c r="H11" s="137"/>
      <c r="I11" s="138"/>
      <c r="J11" s="138"/>
    </row>
    <row r="12" spans="1:10" x14ac:dyDescent="0.25">
      <c r="E12" s="92"/>
      <c r="F12" s="93"/>
      <c r="G12" s="94"/>
      <c r="H12" s="137"/>
      <c r="I12" s="138"/>
      <c r="J12" s="138"/>
    </row>
    <row r="13" spans="1:10" x14ac:dyDescent="0.25">
      <c r="E13" s="92"/>
      <c r="F13" s="93"/>
      <c r="G13" s="94"/>
      <c r="H13" s="137"/>
      <c r="I13" s="138"/>
      <c r="J13" s="138"/>
    </row>
    <row r="14" spans="1:10" ht="16" x14ac:dyDescent="0.25">
      <c r="B14" s="133" t="s">
        <v>50</v>
      </c>
      <c r="C14" s="133"/>
      <c r="E14" s="92"/>
      <c r="F14" s="93"/>
      <c r="G14" s="94"/>
      <c r="H14" s="137"/>
      <c r="I14" s="138"/>
      <c r="J14" s="138"/>
    </row>
    <row r="15" spans="1:10" x14ac:dyDescent="0.25">
      <c r="E15" s="92"/>
      <c r="F15" s="93"/>
      <c r="G15" s="94"/>
      <c r="H15" s="137"/>
      <c r="I15" s="138"/>
      <c r="J15" s="138"/>
    </row>
    <row r="16" spans="1:10" x14ac:dyDescent="0.25">
      <c r="E16" s="92"/>
      <c r="F16" s="93"/>
      <c r="G16" s="94"/>
      <c r="H16" s="137"/>
      <c r="I16" s="138"/>
      <c r="J16" s="138"/>
    </row>
    <row r="17" spans="1:11" x14ac:dyDescent="0.25">
      <c r="E17" s="95"/>
      <c r="F17" s="96"/>
      <c r="G17" s="97"/>
      <c r="H17" s="137"/>
      <c r="I17" s="138"/>
      <c r="J17" s="138"/>
    </row>
    <row r="21" spans="1:11" ht="32" x14ac:dyDescent="0.25">
      <c r="D21" s="45" t="str">
        <f>_xlfn.XLOOKUP(B6,'Köşe Kabin İçin'!A16:A18,'Köşe Kabin İçin'!B16:B18,"Not found")</f>
        <v>Ray</v>
      </c>
      <c r="E21" s="45" t="str">
        <f>_xlfn.XLOOKUP(B6,'Köşe Kabin İçin'!A1:A3,'Köşe Kabin İçin'!B1:B3,"Not found")</f>
        <v>Ray</v>
      </c>
      <c r="F21" s="45" t="str">
        <f>_xlfn.XLOOKUP(B6,'Köşe Kabin İçin'!A5:A7,'Köşe Kabin İçin'!B5:B7,"Not found")</f>
        <v>Duvar Dikmesi</v>
      </c>
      <c r="G21" s="33" t="str">
        <f>_xlfn.XLOOKUP(B6,'Köşe Kabin İçin'!A9:A10,'Köşe Kabin İçin'!B9:B10,"Not found")</f>
        <v>Cam Dikmesi</v>
      </c>
      <c r="K21" s="32"/>
    </row>
    <row r="22" spans="1:11" x14ac:dyDescent="0.25">
      <c r="D22" s="86" t="e" vm="27">
        <f>_xlfn.XLOOKUP(B6,'Köşe Kabin İçin'!A16:A18,'Köşe Kabin İçin'!D16:D18,"Not found")</f>
        <v>#VALUE!</v>
      </c>
      <c r="E22" s="86" t="e" vm="27">
        <f>_xlfn.XLOOKUP(B6,'Köşe Kabin İçin'!A1:A3,'Köşe Kabin İçin'!D1:D3,"Not found")</f>
        <v>#VALUE!</v>
      </c>
      <c r="F22" s="86" t="e" vm="28">
        <f>_xlfn.XLOOKUP(B6,'Köşe Kabin İçin'!A5:A7,'Köşe Kabin İçin'!D5:D7,"Not found")</f>
        <v>#VALUE!</v>
      </c>
      <c r="G22" s="86" t="e" vm="29">
        <f>_xlfn.XLOOKUP(B6,'Köşe Kabin İçin'!A9:A10,'Köşe Kabin İçin'!D9:D10,"Not found")</f>
        <v>#VALUE!</v>
      </c>
    </row>
    <row r="23" spans="1:11" x14ac:dyDescent="0.25">
      <c r="D23" s="86"/>
      <c r="E23" s="86"/>
      <c r="F23" s="86"/>
      <c r="G23" s="86"/>
    </row>
    <row r="24" spans="1:11" x14ac:dyDescent="0.25">
      <c r="D24" s="86"/>
      <c r="E24" s="86"/>
      <c r="F24" s="86"/>
      <c r="G24" s="86"/>
    </row>
    <row r="25" spans="1:11" x14ac:dyDescent="0.25">
      <c r="D25" s="86"/>
      <c r="E25" s="86"/>
      <c r="F25" s="86"/>
      <c r="G25" s="86"/>
    </row>
    <row r="26" spans="1:11" ht="16" x14ac:dyDescent="0.25">
      <c r="D26" s="45">
        <f>_xlfn.XLOOKUP(B6,'Köşe Kabin İçin'!A16:A18,'Köşe Kabin İçin'!C16:C18,"Not found")</f>
        <v>83</v>
      </c>
      <c r="E26" s="45">
        <f>_xlfn.XLOOKUP(B6,'Köşe Kabin İçin'!A1:A3,'Köşe Kabin İçin'!C1:C3,"Not found")</f>
        <v>77</v>
      </c>
      <c r="F26" s="16">
        <f>_xlfn.XLOOKUP(B6,'Köşe Kabin İçin'!A5:A7,'Köşe Kabin İçin'!C5:C7,"Not found")</f>
        <v>190</v>
      </c>
      <c r="G26" s="16">
        <f>_xlfn.XLOOKUP(B6,'Köşe Kabin İçin'!A9:A10,'Köşe Kabin İçin'!C9:C10,"Not found")</f>
        <v>180</v>
      </c>
    </row>
    <row r="27" spans="1:11" x14ac:dyDescent="0.25">
      <c r="D27" s="16" t="s">
        <v>12</v>
      </c>
      <c r="E27" s="16" t="s">
        <v>12</v>
      </c>
      <c r="F27" s="16" t="s">
        <v>12</v>
      </c>
      <c r="G27" s="16" t="s">
        <v>12</v>
      </c>
    </row>
    <row r="29" spans="1:11" x14ac:dyDescent="0.25">
      <c r="F29" s="99" t="s">
        <v>21</v>
      </c>
      <c r="G29" s="100"/>
      <c r="I29" s="46" t="s">
        <v>32</v>
      </c>
    </row>
    <row r="30" spans="1:11" x14ac:dyDescent="0.25">
      <c r="A30" s="47" t="s">
        <v>22</v>
      </c>
      <c r="B30" s="16">
        <f>(B8-7.5)</f>
        <v>182.5</v>
      </c>
      <c r="C30" s="16">
        <f>(B9-4)/2</f>
        <v>37.5</v>
      </c>
      <c r="D30" s="16" t="s">
        <v>23</v>
      </c>
      <c r="F30" s="155" t="s">
        <v>61</v>
      </c>
      <c r="G30" s="155"/>
      <c r="H30" s="156"/>
      <c r="I30" s="157">
        <v>12000</v>
      </c>
    </row>
    <row r="31" spans="1:11" x14ac:dyDescent="0.25">
      <c r="A31" s="47" t="s">
        <v>24</v>
      </c>
      <c r="B31" s="16">
        <f>(B8-2.5)</f>
        <v>187.5</v>
      </c>
      <c r="C31" s="16">
        <f>(B9/2)-2</f>
        <v>37.5</v>
      </c>
      <c r="D31" s="16" t="s">
        <v>23</v>
      </c>
      <c r="F31" s="155"/>
      <c r="G31" s="155"/>
      <c r="H31" s="156"/>
      <c r="I31" s="158"/>
    </row>
    <row r="32" spans="1:11" x14ac:dyDescent="0.25">
      <c r="A32" s="47" t="s">
        <v>22</v>
      </c>
      <c r="B32" s="16">
        <f>(B8-7.5)</f>
        <v>182.5</v>
      </c>
      <c r="C32" s="16">
        <f>((B10/2)-2)</f>
        <v>40.5</v>
      </c>
      <c r="D32" s="16" t="s">
        <v>23</v>
      </c>
    </row>
    <row r="33" spans="1:11" x14ac:dyDescent="0.25">
      <c r="A33" s="47" t="s">
        <v>24</v>
      </c>
      <c r="B33" s="16">
        <f>(B8-2.5)</f>
        <v>187.5</v>
      </c>
      <c r="C33" s="16">
        <f>(B10/2)-2</f>
        <v>40.5</v>
      </c>
      <c r="D33" s="16" t="s">
        <v>23</v>
      </c>
    </row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 xml:space="preserve">şenol yıldız   </v>
      </c>
      <c r="H36" s="103"/>
      <c r="I36" s="103"/>
      <c r="J36" s="103"/>
      <c r="K36" s="50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  <c r="K37"/>
    </row>
    <row r="38" spans="1:11" ht="18.5" x14ac:dyDescent="0.45">
      <c r="A38" s="5"/>
      <c r="B38" s="93"/>
      <c r="C38" s="93"/>
      <c r="D38" s="93"/>
      <c r="E38" s="93"/>
      <c r="F38" s="23" t="s">
        <v>27</v>
      </c>
      <c r="G38" s="127" t="str">
        <f>G2</f>
        <v>ibrahim karagöz</v>
      </c>
      <c r="H38" s="127"/>
      <c r="I38" s="127"/>
      <c r="J38" s="5"/>
      <c r="K38"/>
    </row>
    <row r="39" spans="1:11" ht="2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  <c r="K39"/>
    </row>
    <row r="40" spans="1:11" ht="15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  <c r="K40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  <c r="K41"/>
    </row>
    <row r="42" spans="1:1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ht="14.5" customHeight="1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 s="5"/>
    </row>
    <row r="46" spans="1:11" ht="15" x14ac:dyDescent="0.35">
      <c r="A46" s="5"/>
      <c r="B46" s="101" t="str">
        <f>B14</f>
        <v>CAM KÖŞE KABİN</v>
      </c>
      <c r="C46" s="101"/>
      <c r="D46" s="101">
        <f>B8</f>
        <v>190</v>
      </c>
      <c r="E46" s="118" t="str">
        <f>B9&amp;" x "&amp;B10</f>
        <v>79 x 85</v>
      </c>
      <c r="F46" s="101" t="str">
        <f>F30</f>
        <v>Siyah Süperlüx Şeffaf Kabin</v>
      </c>
      <c r="G46" s="101"/>
      <c r="H46" s="101"/>
      <c r="I46" s="128">
        <f>I30</f>
        <v>12000</v>
      </c>
      <c r="J46" s="5"/>
      <c r="K46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  <c r="K47"/>
    </row>
    <row r="48" spans="1:11" ht="15" x14ac:dyDescent="0.35">
      <c r="A48" s="5"/>
      <c r="B48" s="101" t="s">
        <v>63</v>
      </c>
      <c r="C48" s="101"/>
      <c r="D48" s="101"/>
      <c r="E48" s="101"/>
      <c r="F48" s="101"/>
      <c r="G48" s="101"/>
      <c r="H48" s="101"/>
      <c r="I48" s="101"/>
      <c r="J48" s="5"/>
      <c r="K48"/>
    </row>
    <row r="49" spans="1:11" ht="15" x14ac:dyDescent="0.35">
      <c r="A49" s="5"/>
      <c r="B49" s="101"/>
      <c r="C49" s="101"/>
      <c r="D49" s="101"/>
      <c r="E49" s="101"/>
      <c r="F49" s="101"/>
      <c r="G49" s="101"/>
      <c r="H49" s="101"/>
      <c r="I49" s="101"/>
      <c r="J49"/>
      <c r="K49" s="3"/>
    </row>
    <row r="50" spans="1:11" ht="15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  <c r="K50"/>
    </row>
    <row r="51" spans="1:11" ht="47.5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130" t="str">
        <f>G36</f>
        <v xml:space="preserve">şenol yıldız   </v>
      </c>
      <c r="H51" s="130"/>
      <c r="I51" s="130"/>
      <c r="J51" s="130"/>
      <c r="K51" s="49"/>
    </row>
    <row r="52" spans="1:11" ht="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/>
    </row>
    <row r="53" spans="1:11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 t="str">
        <f>G38</f>
        <v>ibrahim karagöz</v>
      </c>
      <c r="H53" s="129"/>
      <c r="I53" s="129"/>
      <c r="J53" s="5"/>
      <c r="K53"/>
    </row>
    <row r="54" spans="1:11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  <c r="K54"/>
    </row>
    <row r="55" spans="1:11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  <c r="K55"/>
    </row>
    <row r="56" spans="1:11" ht="15" x14ac:dyDescent="0.35">
      <c r="A56" s="5"/>
      <c r="B56"/>
      <c r="C56"/>
      <c r="D56"/>
      <c r="E56"/>
      <c r="F56" s="5"/>
      <c r="G56"/>
      <c r="H56"/>
      <c r="I56"/>
      <c r="J56" s="5"/>
      <c r="K56"/>
    </row>
    <row r="57" spans="1:11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1" x14ac:dyDescent="0.35">
      <c r="A58" s="5"/>
      <c r="B58" s="101" t="str">
        <f>B46</f>
        <v>CAM KÖŞE KABİN</v>
      </c>
      <c r="C58" s="101"/>
      <c r="D58" s="101">
        <f>B8</f>
        <v>190</v>
      </c>
      <c r="E58" s="118" t="str">
        <f>B9&amp;" x "&amp;B10</f>
        <v>79 x 85</v>
      </c>
      <c r="F58" s="101" t="str">
        <f>F30</f>
        <v>Siyah Süperlüx Şeffaf Kabin</v>
      </c>
      <c r="G58" s="101"/>
      <c r="H58" s="101"/>
      <c r="I58" s="128">
        <f>I30</f>
        <v>12000</v>
      </c>
      <c r="J58" s="5"/>
      <c r="K58" s="5"/>
    </row>
    <row r="59" spans="1:11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1" x14ac:dyDescent="0.35">
      <c r="A60" s="5"/>
      <c r="B60" s="101" t="s">
        <v>64</v>
      </c>
      <c r="C60" s="101"/>
      <c r="D60" s="101"/>
      <c r="E60" s="101"/>
      <c r="F60" s="101"/>
      <c r="G60" s="101"/>
      <c r="H60" s="101"/>
      <c r="I60" s="101"/>
      <c r="J60" s="5"/>
      <c r="K60" s="5"/>
    </row>
    <row r="61" spans="1:11" ht="15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  <c r="K61"/>
    </row>
    <row r="74" ht="15" customHeight="1" x14ac:dyDescent="0.25"/>
  </sheetData>
  <mergeCells count="49">
    <mergeCell ref="D22:D25"/>
    <mergeCell ref="B36:E38"/>
    <mergeCell ref="G38:I38"/>
    <mergeCell ref="B41:E43"/>
    <mergeCell ref="H41:I41"/>
    <mergeCell ref="E22:E25"/>
    <mergeCell ref="F29:G29"/>
    <mergeCell ref="F22:F25"/>
    <mergeCell ref="G22:G25"/>
    <mergeCell ref="F30:H31"/>
    <mergeCell ref="I30:I31"/>
    <mergeCell ref="G36:J36"/>
    <mergeCell ref="D1:F1"/>
    <mergeCell ref="G1:I1"/>
    <mergeCell ref="D2:F2"/>
    <mergeCell ref="G2:I2"/>
    <mergeCell ref="B14:C14"/>
    <mergeCell ref="B2:C2"/>
    <mergeCell ref="E5:G17"/>
    <mergeCell ref="H5:J17"/>
    <mergeCell ref="B45:C45"/>
    <mergeCell ref="F45:H45"/>
    <mergeCell ref="B46:C47"/>
    <mergeCell ref="D46:D47"/>
    <mergeCell ref="E46:E47"/>
    <mergeCell ref="F46:H47"/>
    <mergeCell ref="I58:I59"/>
    <mergeCell ref="F57:H57"/>
    <mergeCell ref="B48:C49"/>
    <mergeCell ref="D48:D49"/>
    <mergeCell ref="E48:E49"/>
    <mergeCell ref="F48:H49"/>
    <mergeCell ref="I48:I49"/>
    <mergeCell ref="I46:I47"/>
    <mergeCell ref="B60:C61"/>
    <mergeCell ref="D60:D61"/>
    <mergeCell ref="E60:E61"/>
    <mergeCell ref="F60:H61"/>
    <mergeCell ref="I60:I61"/>
    <mergeCell ref="B58:C59"/>
    <mergeCell ref="D58:D59"/>
    <mergeCell ref="E58:E59"/>
    <mergeCell ref="F58:H59"/>
    <mergeCell ref="B51:E51"/>
    <mergeCell ref="B53:E55"/>
    <mergeCell ref="G53:I53"/>
    <mergeCell ref="H55:I55"/>
    <mergeCell ref="B57:C57"/>
    <mergeCell ref="G51:J51"/>
  </mergeCells>
  <dataValidations count="3">
    <dataValidation type="list" allowBlank="1" showInputMessage="1" showErrorMessage="1" sqref="B5" xr:uid="{00000000-0002-0000-0700-000000000000}">
      <formula1>renk</formula1>
    </dataValidation>
    <dataValidation type="list" allowBlank="1" showInputMessage="1" showErrorMessage="1" sqref="B6" xr:uid="{00000000-0002-0000-0700-000001000000}">
      <formula1>Profil_Cinsi</formula1>
    </dataValidation>
    <dataValidation type="list" allowBlank="1" showInputMessage="1" showErrorMessage="1" sqref="B7" xr:uid="{00000000-0002-0000-0700-000002000000}">
      <formula1>DESENLER</formula1>
    </dataValidation>
  </dataValidations>
  <pageMargins left="0.25" right="0.25" top="0.75" bottom="0.75" header="0.29861111111111099" footer="0.29861111111111099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C624-8C13-4373-8491-B67654C4EDEC}">
  <sheetPr codeName="Sayfa9">
    <pageSetUpPr fitToPage="1"/>
  </sheetPr>
  <dimension ref="A1:K74"/>
  <sheetViews>
    <sheetView workbookViewId="0">
      <selection activeCell="F32" sqref="F32"/>
    </sheetView>
  </sheetViews>
  <sheetFormatPr defaultColWidth="9" defaultRowHeight="14.5" x14ac:dyDescent="0.25"/>
  <cols>
    <col min="1" max="1" width="11.08984375" style="4" customWidth="1"/>
    <col min="2" max="2" width="11.7265625" style="4" customWidth="1"/>
    <col min="3" max="3" width="13.36328125" style="4" customWidth="1"/>
    <col min="4" max="4" width="8.90625" style="4" customWidth="1"/>
    <col min="5" max="5" width="15.453125" style="4" customWidth="1"/>
    <col min="6" max="6" width="14.453125" style="4" customWidth="1"/>
    <col min="7" max="7" width="13" style="4" customWidth="1"/>
    <col min="8" max="8" width="14" style="4" customWidth="1"/>
    <col min="9" max="9" width="11.453125" style="4" customWidth="1"/>
    <col min="10" max="10" width="13" style="4" customWidth="1"/>
    <col min="11" max="11" width="12.08984375" style="4" customWidth="1"/>
    <col min="12" max="16384" width="9" style="4"/>
  </cols>
  <sheetData>
    <row r="1" spans="1:10" x14ac:dyDescent="0.25">
      <c r="D1" s="131" t="s">
        <v>0</v>
      </c>
      <c r="E1" s="132"/>
      <c r="F1" s="132"/>
      <c r="G1" s="131" t="s">
        <v>1</v>
      </c>
      <c r="H1" s="131"/>
      <c r="I1" s="131"/>
    </row>
    <row r="2" spans="1:10" ht="16" x14ac:dyDescent="0.4">
      <c r="A2" s="21" t="s">
        <v>2</v>
      </c>
      <c r="B2" s="87">
        <f ca="1">TODAY()</f>
        <v>46006</v>
      </c>
      <c r="C2" s="88"/>
      <c r="D2" s="145" t="s">
        <v>106</v>
      </c>
      <c r="E2" s="86"/>
      <c r="F2" s="86"/>
      <c r="G2" s="145" t="s">
        <v>107</v>
      </c>
      <c r="H2" s="86"/>
      <c r="I2" s="86"/>
    </row>
    <row r="5" spans="1:10" x14ac:dyDescent="0.25">
      <c r="A5" s="26" t="s">
        <v>4</v>
      </c>
      <c r="B5" s="25" t="s">
        <v>5</v>
      </c>
      <c r="E5" s="134" t="e" vm="16">
        <v>#VALUE!</v>
      </c>
      <c r="F5" s="135"/>
      <c r="G5" s="136"/>
      <c r="H5" s="137" t="e" vm="24">
        <f>_xlfn.XLOOKUP(B7,'Köşe Kabin İçin'!F1:F8,'Köşe Kabin İçin'!G1:G8,"Not found")</f>
        <v>#VALUE!</v>
      </c>
      <c r="I5" s="138"/>
      <c r="J5" s="138"/>
    </row>
    <row r="6" spans="1:10" x14ac:dyDescent="0.25">
      <c r="A6" s="26" t="s">
        <v>48</v>
      </c>
      <c r="B6" s="25" t="s">
        <v>49</v>
      </c>
      <c r="E6" s="137"/>
      <c r="F6" s="138"/>
      <c r="G6" s="139"/>
      <c r="H6" s="137"/>
      <c r="I6" s="138"/>
      <c r="J6" s="138"/>
    </row>
    <row r="7" spans="1:10" x14ac:dyDescent="0.25">
      <c r="A7" s="26" t="s">
        <v>6</v>
      </c>
      <c r="B7" s="25">
        <v>1004</v>
      </c>
      <c r="E7" s="137"/>
      <c r="F7" s="138"/>
      <c r="G7" s="139"/>
      <c r="H7" s="137"/>
      <c r="I7" s="138"/>
      <c r="J7" s="138"/>
    </row>
    <row r="8" spans="1:10" x14ac:dyDescent="0.25">
      <c r="A8" s="26" t="s">
        <v>8</v>
      </c>
      <c r="B8" s="25">
        <v>190</v>
      </c>
      <c r="E8" s="137"/>
      <c r="F8" s="138"/>
      <c r="G8" s="139"/>
      <c r="H8" s="137"/>
      <c r="I8" s="138"/>
      <c r="J8" s="138"/>
    </row>
    <row r="9" spans="1:10" ht="13.9" customHeight="1" x14ac:dyDescent="0.25">
      <c r="A9" s="26" t="s">
        <v>10</v>
      </c>
      <c r="B9" s="25">
        <v>149</v>
      </c>
      <c r="E9" s="137"/>
      <c r="F9" s="138"/>
      <c r="G9" s="139"/>
      <c r="H9" s="137"/>
      <c r="I9" s="138"/>
      <c r="J9" s="138"/>
    </row>
    <row r="10" spans="1:10" x14ac:dyDescent="0.25">
      <c r="E10" s="137"/>
      <c r="F10" s="138"/>
      <c r="G10" s="139"/>
      <c r="H10" s="137"/>
      <c r="I10" s="138"/>
      <c r="J10" s="138"/>
    </row>
    <row r="11" spans="1:10" x14ac:dyDescent="0.25">
      <c r="E11" s="137"/>
      <c r="F11" s="138"/>
      <c r="G11" s="139"/>
      <c r="H11" s="137"/>
      <c r="I11" s="138"/>
      <c r="J11" s="138"/>
    </row>
    <row r="12" spans="1:10" x14ac:dyDescent="0.25">
      <c r="E12" s="137"/>
      <c r="F12" s="138"/>
      <c r="G12" s="139"/>
      <c r="H12" s="137"/>
      <c r="I12" s="138"/>
      <c r="J12" s="138"/>
    </row>
    <row r="13" spans="1:10" x14ac:dyDescent="0.25">
      <c r="E13" s="137"/>
      <c r="F13" s="138"/>
      <c r="G13" s="139"/>
      <c r="H13" s="137"/>
      <c r="I13" s="138"/>
      <c r="J13" s="138"/>
    </row>
    <row r="14" spans="1:10" ht="16" x14ac:dyDescent="0.25">
      <c r="B14" s="160" t="s">
        <v>108</v>
      </c>
      <c r="C14" s="133"/>
      <c r="E14" s="137"/>
      <c r="F14" s="138"/>
      <c r="G14" s="139"/>
      <c r="H14" s="137"/>
      <c r="I14" s="138"/>
      <c r="J14" s="138"/>
    </row>
    <row r="15" spans="1:10" x14ac:dyDescent="0.25">
      <c r="E15" s="137"/>
      <c r="F15" s="138"/>
      <c r="G15" s="139"/>
      <c r="H15" s="137"/>
      <c r="I15" s="138"/>
      <c r="J15" s="138"/>
    </row>
    <row r="16" spans="1:10" x14ac:dyDescent="0.25">
      <c r="E16" s="137"/>
      <c r="F16" s="138"/>
      <c r="G16" s="139"/>
      <c r="H16" s="137"/>
      <c r="I16" s="138"/>
      <c r="J16" s="138"/>
    </row>
    <row r="17" spans="1:11" x14ac:dyDescent="0.25">
      <c r="E17" s="140"/>
      <c r="F17" s="141"/>
      <c r="G17" s="142"/>
      <c r="H17" s="137"/>
      <c r="I17" s="138"/>
      <c r="J17" s="138"/>
    </row>
    <row r="21" spans="1:11" ht="32" x14ac:dyDescent="0.25">
      <c r="E21" s="45" t="str">
        <f>_xlfn.XLOOKUP(B6,'Düz Kabin İçin'!A1:A3,'Düz Kabin İçin'!B1:B3,"Not found")</f>
        <v>Ray</v>
      </c>
      <c r="F21" s="45" t="str">
        <f>_xlfn.XLOOKUP(B6,'Düz Kabin İçin'!A5:A7,'Düz Kabin İçin'!B5:B7,"Not found")</f>
        <v>Duvar Dikmesi</v>
      </c>
      <c r="G21" s="33" t="str">
        <f>_xlfn.XLOOKUP(B6,'Düz Kabin İçin'!A9:A10,'Düz Kabin İçin'!B9:B10,"Not found")</f>
        <v>Cam Dikmesi</v>
      </c>
      <c r="K21" s="32"/>
    </row>
    <row r="22" spans="1:11" x14ac:dyDescent="0.25">
      <c r="E22" s="86" t="e" vm="27">
        <f>_xlfn.XLOOKUP(B6,'Düz Kabin İçin'!A1:A3,'Düz Kabin İçin'!D1:D3,"Not found")</f>
        <v>#VALUE!</v>
      </c>
      <c r="F22" s="86" t="e" vm="28">
        <f>_xlfn.XLOOKUP(B6,'Düz Kabin İçin'!A5:A7,'Düz Kabin İçin'!D5:D7,"Not found")</f>
        <v>#VALUE!</v>
      </c>
      <c r="G22" s="86" t="e" vm="29">
        <f>_xlfn.XLOOKUP(B6,'Düz Kabin İçin'!A9:A10,'Düz Kabin İçin'!D9:D10,"Not found")</f>
        <v>#VALUE!</v>
      </c>
    </row>
    <row r="23" spans="1:11" x14ac:dyDescent="0.25">
      <c r="E23" s="86"/>
      <c r="F23" s="86"/>
      <c r="G23" s="86"/>
    </row>
    <row r="24" spans="1:11" x14ac:dyDescent="0.25">
      <c r="E24" s="86"/>
      <c r="F24" s="86"/>
      <c r="G24" s="86"/>
    </row>
    <row r="25" spans="1:11" x14ac:dyDescent="0.25">
      <c r="E25" s="86"/>
      <c r="F25" s="86"/>
      <c r="G25" s="86"/>
    </row>
    <row r="26" spans="1:11" ht="16" x14ac:dyDescent="0.25">
      <c r="E26" s="45">
        <f>_xlfn.XLOOKUP(B6,'Düz Kabin İçin'!A1:A3,'Düz Kabin İçin'!C1:C3,"Not found")</f>
        <v>131</v>
      </c>
      <c r="F26" s="16">
        <f>_xlfn.XLOOKUP(B6,'Düz Kabin İçin'!A5:A7,'Düz Kabin İçin'!C5:C7,"Not found")</f>
        <v>190</v>
      </c>
      <c r="G26" s="16">
        <f>_xlfn.XLOOKUP(B6,'Düz Kabin İçin'!A9:A10,'Düz Kabin İçin'!C9:C10,"Not found")</f>
        <v>180</v>
      </c>
    </row>
    <row r="27" spans="1:11" x14ac:dyDescent="0.25">
      <c r="E27" s="16" t="s">
        <v>12</v>
      </c>
      <c r="F27" s="16" t="s">
        <v>12</v>
      </c>
      <c r="G27" s="16" t="s">
        <v>12</v>
      </c>
    </row>
    <row r="29" spans="1:11" x14ac:dyDescent="0.25">
      <c r="F29" s="99" t="s">
        <v>21</v>
      </c>
      <c r="G29" s="100"/>
      <c r="I29" s="46" t="s">
        <v>32</v>
      </c>
    </row>
    <row r="30" spans="1:11" x14ac:dyDescent="0.25">
      <c r="A30" s="43" t="s">
        <v>22</v>
      </c>
      <c r="B30" s="16">
        <f>(B8-7.5)</f>
        <v>182.5</v>
      </c>
      <c r="C30" s="16">
        <f>(B9/4)-2</f>
        <v>35.25</v>
      </c>
      <c r="D30" s="16" t="s">
        <v>23</v>
      </c>
      <c r="F30" s="149" t="s">
        <v>109</v>
      </c>
      <c r="G30" s="149"/>
      <c r="H30" s="149"/>
      <c r="I30" s="159">
        <v>8000</v>
      </c>
    </row>
    <row r="31" spans="1:11" x14ac:dyDescent="0.25">
      <c r="A31" s="43" t="s">
        <v>24</v>
      </c>
      <c r="B31" s="16">
        <f>(B8-2.5)</f>
        <v>187.5</v>
      </c>
      <c r="C31" s="16">
        <f>(B9/4)-2</f>
        <v>35.25</v>
      </c>
      <c r="D31" s="16" t="s">
        <v>23</v>
      </c>
      <c r="F31" s="149"/>
      <c r="G31" s="149"/>
      <c r="H31" s="149"/>
      <c r="I31" s="159"/>
    </row>
    <row r="32" spans="1:11" ht="17.649999999999999" customHeight="1" x14ac:dyDescent="0.25">
      <c r="A32" s="43" t="s">
        <v>22</v>
      </c>
      <c r="B32" s="16">
        <f>(B8-7.5)</f>
        <v>182.5</v>
      </c>
      <c r="C32" s="16">
        <f>((B9/4)-2)</f>
        <v>35.25</v>
      </c>
      <c r="D32" s="16" t="s">
        <v>23</v>
      </c>
    </row>
    <row r="33" spans="1:11" x14ac:dyDescent="0.25">
      <c r="A33" s="43" t="s">
        <v>24</v>
      </c>
      <c r="B33" s="16">
        <f>(B8-2.5)</f>
        <v>187.5</v>
      </c>
      <c r="C33" s="16">
        <f>(B9/4)-2</f>
        <v>35.25</v>
      </c>
      <c r="D33" s="16" t="s">
        <v>23</v>
      </c>
    </row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>Zeki</v>
      </c>
      <c r="H36" s="103"/>
      <c r="I36" s="103"/>
      <c r="J36" s="50"/>
      <c r="K36" s="50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  <c r="K37"/>
    </row>
    <row r="38" spans="1:11" ht="18.5" x14ac:dyDescent="0.45">
      <c r="A38" s="5"/>
      <c r="B38" s="93"/>
      <c r="C38" s="93"/>
      <c r="D38" s="93"/>
      <c r="E38" s="93"/>
      <c r="F38" s="23" t="s">
        <v>27</v>
      </c>
      <c r="G38" s="127" t="str">
        <f>G2</f>
        <v>Doğuş</v>
      </c>
      <c r="H38" s="127"/>
      <c r="I38" s="127"/>
      <c r="J38" s="5"/>
      <c r="K38"/>
    </row>
    <row r="39" spans="1:11" ht="2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  <c r="K39"/>
    </row>
    <row r="40" spans="1:11" ht="15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  <c r="K40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  <c r="K41"/>
    </row>
    <row r="42" spans="1:1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ht="14.5" customHeight="1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 s="5"/>
    </row>
    <row r="46" spans="1:11" ht="15" x14ac:dyDescent="0.35">
      <c r="A46" s="5"/>
      <c r="B46" s="101" t="str">
        <f>B14</f>
        <v>CAM 2S2Ç KABİN</v>
      </c>
      <c r="C46" s="101"/>
      <c r="D46" s="101">
        <f>B8</f>
        <v>190</v>
      </c>
      <c r="E46" s="118">
        <f>B9</f>
        <v>149</v>
      </c>
      <c r="F46" s="101" t="str">
        <f>F30</f>
        <v>Parlak Liverno 1004 desen</v>
      </c>
      <c r="G46" s="101"/>
      <c r="H46" s="101"/>
      <c r="I46" s="128">
        <f>I30</f>
        <v>8000</v>
      </c>
      <c r="J46" s="5"/>
      <c r="K46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  <c r="K47"/>
    </row>
    <row r="48" spans="1:11" ht="15" x14ac:dyDescent="0.35">
      <c r="A48" s="5"/>
      <c r="B48" s="101"/>
      <c r="C48" s="101"/>
      <c r="D48" s="101"/>
      <c r="E48" s="101"/>
      <c r="F48" s="101"/>
      <c r="G48" s="101"/>
      <c r="H48" s="101"/>
      <c r="I48" s="101"/>
      <c r="J48" s="5"/>
      <c r="K48"/>
    </row>
    <row r="49" spans="1:11" ht="15" x14ac:dyDescent="0.35">
      <c r="A49" s="5"/>
      <c r="B49" s="101"/>
      <c r="C49" s="101"/>
      <c r="D49" s="101"/>
      <c r="E49" s="101"/>
      <c r="F49" s="101"/>
      <c r="G49" s="101"/>
      <c r="H49" s="101"/>
      <c r="I49" s="101"/>
      <c r="J49"/>
      <c r="K49" s="3"/>
    </row>
    <row r="50" spans="1:11" ht="15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  <c r="K50"/>
    </row>
    <row r="51" spans="1:11" ht="47.5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130" t="str">
        <f>G36</f>
        <v>Zeki</v>
      </c>
      <c r="H51" s="130"/>
      <c r="I51" s="130"/>
      <c r="J51" s="49"/>
      <c r="K51" s="49"/>
    </row>
    <row r="52" spans="1:11" ht="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/>
    </row>
    <row r="53" spans="1:11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 t="str">
        <f>G38</f>
        <v>Doğuş</v>
      </c>
      <c r="H53" s="129"/>
      <c r="I53" s="129"/>
      <c r="J53" s="5"/>
      <c r="K53"/>
    </row>
    <row r="54" spans="1:11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  <c r="K54"/>
    </row>
    <row r="55" spans="1:11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  <c r="K55"/>
    </row>
    <row r="56" spans="1:11" ht="15" x14ac:dyDescent="0.35">
      <c r="A56" s="5"/>
      <c r="B56"/>
      <c r="C56"/>
      <c r="D56"/>
      <c r="E56"/>
      <c r="F56" s="5"/>
      <c r="G56"/>
      <c r="H56"/>
      <c r="I56"/>
      <c r="J56" s="5"/>
      <c r="K56"/>
    </row>
    <row r="57" spans="1:11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1" x14ac:dyDescent="0.35">
      <c r="A58" s="5"/>
      <c r="B58" s="101" t="str">
        <f>B46</f>
        <v>CAM 2S2Ç KABİN</v>
      </c>
      <c r="C58" s="101"/>
      <c r="D58" s="101">
        <f>B8</f>
        <v>190</v>
      </c>
      <c r="E58" s="118">
        <f>B9</f>
        <v>149</v>
      </c>
      <c r="F58" s="101" t="str">
        <f>F30</f>
        <v>Parlak Liverno 1004 desen</v>
      </c>
      <c r="G58" s="101"/>
      <c r="H58" s="101"/>
      <c r="I58" s="128">
        <f>I46</f>
        <v>8000</v>
      </c>
      <c r="J58" s="5"/>
      <c r="K58" s="5"/>
    </row>
    <row r="59" spans="1:11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1" x14ac:dyDescent="0.35">
      <c r="A60" s="5"/>
      <c r="B60" s="101"/>
      <c r="C60" s="101"/>
      <c r="D60" s="101"/>
      <c r="E60" s="101"/>
      <c r="F60" s="101"/>
      <c r="G60" s="101"/>
      <c r="H60" s="101"/>
      <c r="I60" s="101"/>
      <c r="J60" s="5"/>
      <c r="K60" s="5"/>
    </row>
    <row r="61" spans="1:11" ht="15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  <c r="K61"/>
    </row>
    <row r="74" ht="15" customHeight="1" x14ac:dyDescent="0.25"/>
  </sheetData>
  <mergeCells count="48">
    <mergeCell ref="B51:E51"/>
    <mergeCell ref="B53:E55"/>
    <mergeCell ref="G53:I53"/>
    <mergeCell ref="H55:I55"/>
    <mergeCell ref="B57:C57"/>
    <mergeCell ref="F57:H57"/>
    <mergeCell ref="B60:C61"/>
    <mergeCell ref="D60:D61"/>
    <mergeCell ref="E60:E61"/>
    <mergeCell ref="F60:H61"/>
    <mergeCell ref="I60:I61"/>
    <mergeCell ref="B41:E43"/>
    <mergeCell ref="H41:I41"/>
    <mergeCell ref="B45:C45"/>
    <mergeCell ref="F45:H45"/>
    <mergeCell ref="D1:F1"/>
    <mergeCell ref="G1:I1"/>
    <mergeCell ref="B2:C2"/>
    <mergeCell ref="D2:F2"/>
    <mergeCell ref="G2:I2"/>
    <mergeCell ref="E5:G17"/>
    <mergeCell ref="H5:J17"/>
    <mergeCell ref="B14:C14"/>
    <mergeCell ref="E22:E25"/>
    <mergeCell ref="F22:F25"/>
    <mergeCell ref="G22:G25"/>
    <mergeCell ref="B36:E38"/>
    <mergeCell ref="B46:C47"/>
    <mergeCell ref="D46:D47"/>
    <mergeCell ref="E46:E47"/>
    <mergeCell ref="F46:H47"/>
    <mergeCell ref="I46:I47"/>
    <mergeCell ref="B48:C49"/>
    <mergeCell ref="D48:D49"/>
    <mergeCell ref="E48:E49"/>
    <mergeCell ref="F48:H49"/>
    <mergeCell ref="I48:I49"/>
    <mergeCell ref="B58:C59"/>
    <mergeCell ref="D58:D59"/>
    <mergeCell ref="E58:E59"/>
    <mergeCell ref="F58:H59"/>
    <mergeCell ref="I58:I59"/>
    <mergeCell ref="F29:G29"/>
    <mergeCell ref="F30:H31"/>
    <mergeCell ref="I30:I31"/>
    <mergeCell ref="G36:I36"/>
    <mergeCell ref="G51:I51"/>
    <mergeCell ref="G38:I38"/>
  </mergeCells>
  <dataValidations count="3">
    <dataValidation type="list" allowBlank="1" showInputMessage="1" showErrorMessage="1" sqref="B5" xr:uid="{F045F753-EA46-414D-B307-8F8F73036525}">
      <formula1>renk</formula1>
    </dataValidation>
    <dataValidation type="list" allowBlank="1" showInputMessage="1" showErrorMessage="1" sqref="B6" xr:uid="{22AD3E0B-2946-4E32-AB30-B8A9F0342AE0}">
      <formula1>Profil_Cinsi</formula1>
    </dataValidation>
    <dataValidation type="list" allowBlank="1" showInputMessage="1" showErrorMessage="1" sqref="B7" xr:uid="{A98BEC5E-F6BC-4EED-BA89-69C68243EA39}">
      <formula1>DESENLER</formula1>
    </dataValidation>
  </dataValidations>
  <pageMargins left="0.25" right="0.25" top="0.75" bottom="0.75" header="0.29861111111111099" footer="0.29861111111111099"/>
  <pageSetup paperSize="9" scale="6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16AB-AB99-4CAD-AB40-811A841543A8}">
  <sheetPr codeName="Sayfa10">
    <pageSetUpPr fitToPage="1"/>
  </sheetPr>
  <dimension ref="A1:K74"/>
  <sheetViews>
    <sheetView workbookViewId="0">
      <selection activeCell="B60" sqref="B60:C61"/>
    </sheetView>
  </sheetViews>
  <sheetFormatPr defaultColWidth="9" defaultRowHeight="14.5" x14ac:dyDescent="0.25"/>
  <cols>
    <col min="1" max="1" width="11.08984375" style="4" customWidth="1"/>
    <col min="2" max="2" width="11.7265625" style="4" customWidth="1"/>
    <col min="3" max="3" width="11.90625" style="4" customWidth="1"/>
    <col min="4" max="4" width="8.90625" style="4" customWidth="1"/>
    <col min="5" max="5" width="15.453125" style="4" customWidth="1"/>
    <col min="6" max="6" width="14.453125" style="4" customWidth="1"/>
    <col min="7" max="7" width="13" style="4" customWidth="1"/>
    <col min="8" max="8" width="14" style="4" customWidth="1"/>
    <col min="9" max="9" width="11.453125" style="4" customWidth="1"/>
    <col min="10" max="10" width="13" style="4" customWidth="1"/>
    <col min="11" max="11" width="12.08984375" style="4" customWidth="1"/>
    <col min="12" max="16384" width="9" style="4"/>
  </cols>
  <sheetData>
    <row r="1" spans="1:10" x14ac:dyDescent="0.25">
      <c r="D1" s="131" t="s">
        <v>0</v>
      </c>
      <c r="E1" s="132"/>
      <c r="F1" s="132"/>
      <c r="G1" s="131" t="s">
        <v>1</v>
      </c>
      <c r="H1" s="131"/>
      <c r="I1" s="131"/>
    </row>
    <row r="2" spans="1:10" x14ac:dyDescent="0.35">
      <c r="A2" s="21" t="s">
        <v>2</v>
      </c>
      <c r="B2" s="153">
        <f ca="1">TODAY()</f>
        <v>46006</v>
      </c>
      <c r="C2" s="154"/>
      <c r="D2" s="145" t="s">
        <v>111</v>
      </c>
      <c r="E2" s="86"/>
      <c r="F2" s="86"/>
      <c r="G2" s="145" t="s">
        <v>112</v>
      </c>
      <c r="H2" s="86"/>
      <c r="I2" s="86"/>
    </row>
    <row r="5" spans="1:10" x14ac:dyDescent="0.25">
      <c r="A5" s="26" t="s">
        <v>4</v>
      </c>
      <c r="B5" s="25" t="s">
        <v>33</v>
      </c>
      <c r="E5" s="134" t="e" vm="12">
        <v>#VALUE!</v>
      </c>
      <c r="F5" s="135"/>
      <c r="G5" s="136"/>
      <c r="H5" s="137" t="e" vm="30">
        <f>_xlfn.XLOOKUP(B7,'Köşe Kabin İçin'!F1:F8,'Köşe Kabin İçin'!G1:G8,"Not found")</f>
        <v>#VALUE!</v>
      </c>
      <c r="I5" s="138"/>
      <c r="J5" s="138"/>
    </row>
    <row r="6" spans="1:10" x14ac:dyDescent="0.25">
      <c r="A6" s="26" t="s">
        <v>48</v>
      </c>
      <c r="B6" s="25" t="s">
        <v>54</v>
      </c>
      <c r="E6" s="137"/>
      <c r="F6" s="138"/>
      <c r="G6" s="139"/>
      <c r="H6" s="137"/>
      <c r="I6" s="138"/>
      <c r="J6" s="138"/>
    </row>
    <row r="7" spans="1:10" x14ac:dyDescent="0.25">
      <c r="A7" s="26" t="s">
        <v>6</v>
      </c>
      <c r="B7" s="25" t="s">
        <v>57</v>
      </c>
      <c r="E7" s="137"/>
      <c r="F7" s="138"/>
      <c r="G7" s="139"/>
      <c r="H7" s="137"/>
      <c r="I7" s="138"/>
      <c r="J7" s="138"/>
    </row>
    <row r="8" spans="1:10" x14ac:dyDescent="0.25">
      <c r="A8" s="26" t="s">
        <v>8</v>
      </c>
      <c r="B8" s="25">
        <v>190</v>
      </c>
      <c r="E8" s="137"/>
      <c r="F8" s="138"/>
      <c r="G8" s="139"/>
      <c r="H8" s="137"/>
      <c r="I8" s="138"/>
      <c r="J8" s="138"/>
    </row>
    <row r="9" spans="1:10" ht="13.9" customHeight="1" x14ac:dyDescent="0.25">
      <c r="A9" s="26" t="s">
        <v>10</v>
      </c>
      <c r="B9" s="25">
        <v>133</v>
      </c>
      <c r="E9" s="137"/>
      <c r="F9" s="138"/>
      <c r="G9" s="139"/>
      <c r="H9" s="137"/>
      <c r="I9" s="138"/>
      <c r="J9" s="138"/>
    </row>
    <row r="10" spans="1:10" x14ac:dyDescent="0.25">
      <c r="E10" s="137"/>
      <c r="F10" s="138"/>
      <c r="G10" s="139"/>
      <c r="H10" s="137"/>
      <c r="I10" s="138"/>
      <c r="J10" s="138"/>
    </row>
    <row r="11" spans="1:10" x14ac:dyDescent="0.25">
      <c r="E11" s="137"/>
      <c r="F11" s="138"/>
      <c r="G11" s="139"/>
      <c r="H11" s="137"/>
      <c r="I11" s="138"/>
      <c r="J11" s="138"/>
    </row>
    <row r="12" spans="1:10" x14ac:dyDescent="0.25">
      <c r="E12" s="137"/>
      <c r="F12" s="138"/>
      <c r="G12" s="139"/>
      <c r="H12" s="137"/>
      <c r="I12" s="138"/>
      <c r="J12" s="138"/>
    </row>
    <row r="13" spans="1:10" x14ac:dyDescent="0.25">
      <c r="E13" s="137"/>
      <c r="F13" s="138"/>
      <c r="G13" s="139"/>
      <c r="H13" s="137"/>
      <c r="I13" s="138"/>
      <c r="J13" s="138"/>
    </row>
    <row r="14" spans="1:10" ht="16" x14ac:dyDescent="0.25">
      <c r="B14" s="160" t="s">
        <v>98</v>
      </c>
      <c r="C14" s="133"/>
      <c r="E14" s="137"/>
      <c r="F14" s="138"/>
      <c r="G14" s="139"/>
      <c r="H14" s="137"/>
      <c r="I14" s="138"/>
      <c r="J14" s="138"/>
    </row>
    <row r="15" spans="1:10" x14ac:dyDescent="0.25">
      <c r="E15" s="137"/>
      <c r="F15" s="138"/>
      <c r="G15" s="139"/>
      <c r="H15" s="137"/>
      <c r="I15" s="138"/>
      <c r="J15" s="138"/>
    </row>
    <row r="16" spans="1:10" x14ac:dyDescent="0.25">
      <c r="E16" s="137"/>
      <c r="F16" s="138"/>
      <c r="G16" s="139"/>
      <c r="H16" s="137"/>
      <c r="I16" s="138"/>
      <c r="J16" s="138"/>
    </row>
    <row r="17" spans="1:11" x14ac:dyDescent="0.25">
      <c r="E17" s="140"/>
      <c r="F17" s="141"/>
      <c r="G17" s="142"/>
      <c r="H17" s="137"/>
      <c r="I17" s="138"/>
      <c r="J17" s="138"/>
    </row>
    <row r="21" spans="1:11" ht="32" x14ac:dyDescent="0.25">
      <c r="E21" s="45" t="str">
        <f>_xlfn.XLOOKUP(B6,'Düz Kabin İçin'!A1:A3,'Düz Kabin İçin'!B1:B3,"Not found")</f>
        <v>Ray</v>
      </c>
      <c r="F21" s="45" t="str">
        <f>_xlfn.XLOOKUP(B6,'Düz Kabin İçin'!A5:A7,'Düz Kabin İçin'!B5:B7,"Not found")</f>
        <v>Duvar Dikmesi</v>
      </c>
      <c r="G21" s="33" t="str">
        <f>_xlfn.XLOOKUP(B6,'Düz Kabin İçin'!A9:A10,'Düz Kabin İçin'!B9:B10,"Not found")</f>
        <v>Not found</v>
      </c>
      <c r="K21" s="32"/>
    </row>
    <row r="22" spans="1:11" x14ac:dyDescent="0.25">
      <c r="E22" s="86" t="e" vm="31">
        <f>_xlfn.XLOOKUP(B6,'Düz Kabin İçin'!A1:A3,'Düz Kabin İçin'!D1:D3,"Not found")</f>
        <v>#VALUE!</v>
      </c>
      <c r="F22" s="86" t="e" vm="32">
        <f>_xlfn.XLOOKUP(B6,'Düz Kabin İçin'!A5:A7,'Düz Kabin İçin'!D5:D7,"Not found")</f>
        <v>#VALUE!</v>
      </c>
      <c r="G22" s="86" t="str">
        <f>_xlfn.XLOOKUP(B6,'Düz Kabin İçin'!A9:A10,'Düz Kabin İçin'!D9:D10,"Not found")</f>
        <v>Not found</v>
      </c>
    </row>
    <row r="23" spans="1:11" x14ac:dyDescent="0.25">
      <c r="E23" s="86"/>
      <c r="F23" s="86"/>
      <c r="G23" s="86"/>
    </row>
    <row r="24" spans="1:11" x14ac:dyDescent="0.25">
      <c r="E24" s="86"/>
      <c r="F24" s="86"/>
      <c r="G24" s="86"/>
    </row>
    <row r="25" spans="1:11" x14ac:dyDescent="0.25">
      <c r="E25" s="86"/>
      <c r="F25" s="86"/>
      <c r="G25" s="86"/>
    </row>
    <row r="26" spans="1:11" ht="16" x14ac:dyDescent="0.25">
      <c r="E26" s="45">
        <f>_xlfn.XLOOKUP(B6,'Düz Kabin İçin'!A1:A3,'Düz Kabin İçin'!C1:C3,"Not found")</f>
        <v>131</v>
      </c>
      <c r="F26" s="16">
        <f>_xlfn.XLOOKUP(B6,'Düz Kabin İçin'!A5:A7,'Düz Kabin İçin'!C5:C7,"Not found")</f>
        <v>190</v>
      </c>
      <c r="G26" s="16" t="str">
        <f>_xlfn.XLOOKUP(B6,'Düz Kabin İçin'!A9:A10,'Düz Kabin İçin'!C9:C10,"Not found")</f>
        <v>Not found</v>
      </c>
    </row>
    <row r="27" spans="1:11" x14ac:dyDescent="0.25">
      <c r="E27" s="16" t="s">
        <v>12</v>
      </c>
      <c r="F27" s="16" t="s">
        <v>12</v>
      </c>
      <c r="G27" s="16" t="s">
        <v>12</v>
      </c>
    </row>
    <row r="29" spans="1:11" x14ac:dyDescent="0.25">
      <c r="F29" s="99" t="s">
        <v>21</v>
      </c>
      <c r="G29" s="100"/>
      <c r="I29" s="46" t="s">
        <v>32</v>
      </c>
    </row>
    <row r="30" spans="1:11" x14ac:dyDescent="0.25">
      <c r="A30" s="43" t="s">
        <v>22</v>
      </c>
      <c r="B30" s="16">
        <f>(B8-7.5)</f>
        <v>182.5</v>
      </c>
      <c r="C30" s="16">
        <f>(B9/2)-2</f>
        <v>64.5</v>
      </c>
      <c r="D30" s="16" t="s">
        <v>23</v>
      </c>
      <c r="F30" s="149" t="s">
        <v>97</v>
      </c>
      <c r="G30" s="149"/>
      <c r="H30" s="149"/>
      <c r="I30" s="159">
        <v>8500</v>
      </c>
    </row>
    <row r="31" spans="1:11" x14ac:dyDescent="0.25">
      <c r="A31" s="43" t="s">
        <v>24</v>
      </c>
      <c r="B31" s="16">
        <f>(B8-2.5)</f>
        <v>187.5</v>
      </c>
      <c r="C31" s="16">
        <f>(B9/2)-2</f>
        <v>64.5</v>
      </c>
      <c r="D31" s="16" t="s">
        <v>23</v>
      </c>
      <c r="F31" s="149"/>
      <c r="G31" s="149"/>
      <c r="H31" s="149"/>
      <c r="I31" s="159"/>
    </row>
    <row r="32" spans="1:11" ht="17.649999999999999" customHeight="1" x14ac:dyDescent="0.25"/>
    <row r="36" spans="1:11" ht="28.5" x14ac:dyDescent="0.35">
      <c r="A36" s="5"/>
      <c r="B36" s="93" t="e" vm="10">
        <v>#VALUE!</v>
      </c>
      <c r="C36" s="93"/>
      <c r="D36" s="93"/>
      <c r="E36" s="93"/>
      <c r="F36" s="20" t="s">
        <v>26</v>
      </c>
      <c r="G36" s="103" t="str">
        <f>D2</f>
        <v>damla</v>
      </c>
      <c r="H36" s="103"/>
      <c r="I36" s="103"/>
      <c r="J36" s="103"/>
      <c r="K36" s="50"/>
    </row>
    <row r="37" spans="1:11" ht="15" x14ac:dyDescent="0.35">
      <c r="A37" s="5"/>
      <c r="B37" s="93"/>
      <c r="C37" s="93"/>
      <c r="D37" s="93"/>
      <c r="E37" s="93"/>
      <c r="F37" s="5"/>
      <c r="G37" s="5"/>
      <c r="H37" s="5"/>
      <c r="I37" s="5"/>
      <c r="J37" s="5"/>
      <c r="K37"/>
    </row>
    <row r="38" spans="1:11" ht="18.5" x14ac:dyDescent="0.45">
      <c r="A38" s="5"/>
      <c r="B38" s="93"/>
      <c r="C38" s="93"/>
      <c r="D38" s="93"/>
      <c r="E38" s="93"/>
      <c r="F38" s="23" t="s">
        <v>27</v>
      </c>
      <c r="G38" s="127" t="str">
        <f>G2</f>
        <v>dursune kızı</v>
      </c>
      <c r="H38" s="127"/>
      <c r="I38" s="127"/>
      <c r="J38" s="5"/>
      <c r="K38"/>
    </row>
    <row r="39" spans="1:11" ht="21" x14ac:dyDescent="0.5">
      <c r="A39" s="5"/>
      <c r="B39" s="5"/>
      <c r="C39" s="5"/>
      <c r="D39" s="5"/>
      <c r="E39" s="5"/>
      <c r="F39" s="5"/>
      <c r="G39" s="48"/>
      <c r="H39" s="48"/>
      <c r="I39" s="48"/>
      <c r="J39" s="5"/>
      <c r="K39"/>
    </row>
    <row r="40" spans="1:11" ht="15" x14ac:dyDescent="0.35">
      <c r="A40" s="5"/>
      <c r="B40" s="5"/>
      <c r="C40" s="5"/>
      <c r="D40" s="5"/>
      <c r="E40" s="5"/>
      <c r="F40" s="23"/>
      <c r="G40" s="5"/>
      <c r="H40" s="5"/>
      <c r="I40" s="5"/>
      <c r="J40" s="5"/>
      <c r="K40"/>
    </row>
    <row r="41" spans="1:11" ht="16" x14ac:dyDescent="0.4">
      <c r="A41" s="5"/>
      <c r="B41" s="104" t="s">
        <v>62</v>
      </c>
      <c r="C41" s="105"/>
      <c r="D41" s="105"/>
      <c r="E41" s="106"/>
      <c r="F41" s="5"/>
      <c r="G41" s="21" t="s">
        <v>2</v>
      </c>
      <c r="H41" s="87">
        <f ca="1">TODAY()</f>
        <v>46006</v>
      </c>
      <c r="I41" s="88"/>
      <c r="J41" s="5"/>
      <c r="K41"/>
    </row>
    <row r="42" spans="1:11" x14ac:dyDescent="0.35">
      <c r="A42" s="5"/>
      <c r="B42" s="107"/>
      <c r="C42" s="108"/>
      <c r="D42" s="108"/>
      <c r="E42" s="109"/>
      <c r="F42" s="5"/>
      <c r="G42" s="5"/>
      <c r="H42" s="5"/>
      <c r="I42" s="5"/>
      <c r="J42" s="5"/>
      <c r="K42" s="5"/>
    </row>
    <row r="43" spans="1:11" ht="14.5" customHeight="1" x14ac:dyDescent="0.35">
      <c r="A43" s="5"/>
      <c r="B43" s="110"/>
      <c r="C43" s="111"/>
      <c r="D43" s="111"/>
      <c r="E43" s="112"/>
      <c r="F43" s="5"/>
      <c r="G43" s="5"/>
      <c r="H43" s="5"/>
      <c r="I43" s="5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5">
      <c r="A45" s="5"/>
      <c r="B45" s="113" t="s">
        <v>28</v>
      </c>
      <c r="C45" s="114"/>
      <c r="D45" s="24" t="s">
        <v>29</v>
      </c>
      <c r="E45" s="24" t="s">
        <v>30</v>
      </c>
      <c r="F45" s="115" t="s">
        <v>31</v>
      </c>
      <c r="G45" s="116"/>
      <c r="H45" s="117"/>
      <c r="I45" s="24" t="s">
        <v>32</v>
      </c>
      <c r="J45" s="5"/>
      <c r="K45" s="5"/>
    </row>
    <row r="46" spans="1:11" ht="15" x14ac:dyDescent="0.35">
      <c r="A46" s="5"/>
      <c r="B46" s="101" t="str">
        <f>B14</f>
        <v>CAM 1S1Ç KABİN</v>
      </c>
      <c r="C46" s="101"/>
      <c r="D46" s="101">
        <f>B8</f>
        <v>190</v>
      </c>
      <c r="E46" s="118">
        <f>B9</f>
        <v>133</v>
      </c>
      <c r="F46" s="101" t="str">
        <f>F30</f>
        <v>Siyah Pratiko 1s1ç</v>
      </c>
      <c r="G46" s="101"/>
      <c r="H46" s="101"/>
      <c r="I46" s="128">
        <f>I30</f>
        <v>8500</v>
      </c>
      <c r="J46" s="5"/>
      <c r="K46"/>
    </row>
    <row r="47" spans="1:11" ht="15" x14ac:dyDescent="0.35">
      <c r="A47" s="5"/>
      <c r="B47" s="101"/>
      <c r="C47" s="101"/>
      <c r="D47" s="101"/>
      <c r="E47" s="101"/>
      <c r="F47" s="101"/>
      <c r="G47" s="101"/>
      <c r="H47" s="101"/>
      <c r="I47" s="128"/>
      <c r="J47" s="5"/>
      <c r="K47"/>
    </row>
    <row r="48" spans="1:11" ht="15" x14ac:dyDescent="0.35">
      <c r="A48" s="5"/>
      <c r="B48" s="101"/>
      <c r="C48" s="101"/>
      <c r="D48" s="101"/>
      <c r="E48" s="101"/>
      <c r="F48" s="101"/>
      <c r="G48" s="101"/>
      <c r="H48" s="101"/>
      <c r="I48" s="101"/>
      <c r="J48" s="5"/>
      <c r="K48"/>
    </row>
    <row r="49" spans="1:11" ht="15" x14ac:dyDescent="0.35">
      <c r="A49" s="5"/>
      <c r="B49" s="101"/>
      <c r="C49" s="101"/>
      <c r="D49" s="101"/>
      <c r="E49" s="101"/>
      <c r="F49" s="101"/>
      <c r="G49" s="101"/>
      <c r="H49" s="101"/>
      <c r="I49" s="101"/>
      <c r="J49"/>
      <c r="K49" s="3"/>
    </row>
    <row r="50" spans="1:11" ht="15" x14ac:dyDescent="0.35">
      <c r="A50" s="5"/>
      <c r="B50" s="22"/>
      <c r="C50" s="22"/>
      <c r="D50" s="22"/>
      <c r="E50" s="22"/>
      <c r="F50" s="22"/>
      <c r="G50" s="22"/>
      <c r="H50" s="22"/>
      <c r="I50" s="22"/>
      <c r="J50" s="22"/>
      <c r="K50"/>
    </row>
    <row r="51" spans="1:11" ht="47.5" x14ac:dyDescent="0.35">
      <c r="A51" s="5"/>
      <c r="B51" s="93" t="e" vm="10">
        <v>#VALUE!</v>
      </c>
      <c r="C51" s="93"/>
      <c r="D51" s="93"/>
      <c r="E51" s="93"/>
      <c r="F51" s="20" t="s">
        <v>26</v>
      </c>
      <c r="G51" s="130" t="str">
        <f>G36</f>
        <v>damla</v>
      </c>
      <c r="H51" s="130"/>
      <c r="I51" s="130"/>
      <c r="J51" s="130"/>
      <c r="K51" s="49"/>
    </row>
    <row r="52" spans="1:11" ht="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/>
    </row>
    <row r="53" spans="1:11" ht="18.5" x14ac:dyDescent="0.45">
      <c r="A53" s="5"/>
      <c r="B53" s="104" t="s">
        <v>25</v>
      </c>
      <c r="C53" s="105"/>
      <c r="D53" s="105"/>
      <c r="E53" s="106"/>
      <c r="F53" s="23" t="s">
        <v>27</v>
      </c>
      <c r="G53" s="129" t="str">
        <f>G38</f>
        <v>dursune kızı</v>
      </c>
      <c r="H53" s="129"/>
      <c r="I53" s="129"/>
      <c r="J53" s="5"/>
      <c r="K53"/>
    </row>
    <row r="54" spans="1:11" ht="21" x14ac:dyDescent="0.5">
      <c r="A54" s="5"/>
      <c r="B54" s="107"/>
      <c r="C54" s="108"/>
      <c r="D54" s="108"/>
      <c r="E54" s="109"/>
      <c r="F54" s="5"/>
      <c r="G54" s="48"/>
      <c r="H54" s="48"/>
      <c r="I54" s="48"/>
      <c r="J54" s="5"/>
      <c r="K54"/>
    </row>
    <row r="55" spans="1:11" ht="16" x14ac:dyDescent="0.4">
      <c r="A55" s="5"/>
      <c r="B55" s="110"/>
      <c r="C55" s="111"/>
      <c r="D55" s="111"/>
      <c r="E55" s="112"/>
      <c r="F55" s="23"/>
      <c r="G55" s="21" t="s">
        <v>2</v>
      </c>
      <c r="H55" s="87">
        <f ca="1">TODAY()</f>
        <v>46006</v>
      </c>
      <c r="I55" s="88"/>
      <c r="J55" s="5"/>
      <c r="K55"/>
    </row>
    <row r="56" spans="1:11" ht="15" x14ac:dyDescent="0.35">
      <c r="A56" s="5"/>
      <c r="B56"/>
      <c r="C56"/>
      <c r="D56"/>
      <c r="E56"/>
      <c r="F56" s="5"/>
      <c r="G56"/>
      <c r="H56"/>
      <c r="I56"/>
      <c r="J56" s="5"/>
      <c r="K56"/>
    </row>
    <row r="57" spans="1:11" x14ac:dyDescent="0.35">
      <c r="A57" s="5"/>
      <c r="B57" s="113" t="s">
        <v>28</v>
      </c>
      <c r="C57" s="114"/>
      <c r="D57" s="24" t="s">
        <v>29</v>
      </c>
      <c r="E57" s="24" t="s">
        <v>30</v>
      </c>
      <c r="F57" s="115" t="s">
        <v>31</v>
      </c>
      <c r="G57" s="116"/>
      <c r="H57" s="117"/>
      <c r="I57" s="24" t="s">
        <v>32</v>
      </c>
      <c r="J57" s="5"/>
      <c r="K57" s="5"/>
    </row>
    <row r="58" spans="1:11" x14ac:dyDescent="0.35">
      <c r="A58" s="5"/>
      <c r="B58" s="101" t="str">
        <f>B46</f>
        <v>CAM 1S1Ç KABİN</v>
      </c>
      <c r="C58" s="101"/>
      <c r="D58" s="101">
        <f>B8</f>
        <v>190</v>
      </c>
      <c r="E58" s="118">
        <f>B9</f>
        <v>133</v>
      </c>
      <c r="F58" s="101" t="str">
        <f>F30</f>
        <v>Siyah Pratiko 1s1ç</v>
      </c>
      <c r="G58" s="101"/>
      <c r="H58" s="101"/>
      <c r="I58" s="128">
        <f>I30</f>
        <v>8500</v>
      </c>
      <c r="J58" s="5"/>
      <c r="K58" s="5"/>
    </row>
    <row r="59" spans="1:11" x14ac:dyDescent="0.35">
      <c r="A59" s="5"/>
      <c r="B59" s="101"/>
      <c r="C59" s="101"/>
      <c r="D59" s="101"/>
      <c r="E59" s="101"/>
      <c r="F59" s="101"/>
      <c r="G59" s="101"/>
      <c r="H59" s="101"/>
      <c r="I59" s="128"/>
      <c r="J59" s="5"/>
      <c r="K59" s="5"/>
    </row>
    <row r="60" spans="1:11" x14ac:dyDescent="0.35">
      <c r="A60" s="5"/>
      <c r="B60" s="101"/>
      <c r="C60" s="101"/>
      <c r="D60" s="101"/>
      <c r="E60" s="101"/>
      <c r="F60" s="101"/>
      <c r="G60" s="101"/>
      <c r="H60" s="101"/>
      <c r="I60" s="101"/>
      <c r="J60" s="5"/>
      <c r="K60" s="5"/>
    </row>
    <row r="61" spans="1:11" ht="15" x14ac:dyDescent="0.35">
      <c r="A61" s="5"/>
      <c r="B61" s="101"/>
      <c r="C61" s="101"/>
      <c r="D61" s="101"/>
      <c r="E61" s="101"/>
      <c r="F61" s="101"/>
      <c r="G61" s="101"/>
      <c r="H61" s="101"/>
      <c r="I61" s="101"/>
      <c r="J61" s="5"/>
      <c r="K61"/>
    </row>
    <row r="74" ht="15" customHeight="1" x14ac:dyDescent="0.25"/>
  </sheetData>
  <mergeCells count="48">
    <mergeCell ref="I60:I61"/>
    <mergeCell ref="B51:E51"/>
    <mergeCell ref="B53:E55"/>
    <mergeCell ref="G53:I53"/>
    <mergeCell ref="H55:I55"/>
    <mergeCell ref="B57:C57"/>
    <mergeCell ref="F57:H57"/>
    <mergeCell ref="G51:J51"/>
    <mergeCell ref="I58:I59"/>
    <mergeCell ref="F29:G29"/>
    <mergeCell ref="B60:C61"/>
    <mergeCell ref="D60:D61"/>
    <mergeCell ref="E60:E61"/>
    <mergeCell ref="F60:H61"/>
    <mergeCell ref="D46:D47"/>
    <mergeCell ref="E46:E47"/>
    <mergeCell ref="F46:H47"/>
    <mergeCell ref="B58:C59"/>
    <mergeCell ref="D58:D59"/>
    <mergeCell ref="E58:E59"/>
    <mergeCell ref="F58:H59"/>
    <mergeCell ref="B48:C49"/>
    <mergeCell ref="D48:D49"/>
    <mergeCell ref="E48:E49"/>
    <mergeCell ref="F48:H49"/>
    <mergeCell ref="E5:G17"/>
    <mergeCell ref="B14:C14"/>
    <mergeCell ref="H5:J17"/>
    <mergeCell ref="E22:E25"/>
    <mergeCell ref="F22:F25"/>
    <mergeCell ref="G22:G25"/>
    <mergeCell ref="D1:F1"/>
    <mergeCell ref="G1:I1"/>
    <mergeCell ref="B2:C2"/>
    <mergeCell ref="D2:F2"/>
    <mergeCell ref="G2:I2"/>
    <mergeCell ref="F30:H31"/>
    <mergeCell ref="I30:I31"/>
    <mergeCell ref="B36:E38"/>
    <mergeCell ref="G38:I38"/>
    <mergeCell ref="G36:J36"/>
    <mergeCell ref="I48:I49"/>
    <mergeCell ref="B41:E43"/>
    <mergeCell ref="H41:I41"/>
    <mergeCell ref="B45:C45"/>
    <mergeCell ref="F45:H45"/>
    <mergeCell ref="B46:C47"/>
    <mergeCell ref="I46:I47"/>
  </mergeCells>
  <dataValidations count="3">
    <dataValidation type="list" allowBlank="1" showInputMessage="1" showErrorMessage="1" sqref="B7" xr:uid="{111B50A7-F007-462C-9876-7230623EBA91}">
      <formula1>DESENLER</formula1>
    </dataValidation>
    <dataValidation type="list" allowBlank="1" showInputMessage="1" showErrorMessage="1" sqref="B6" xr:uid="{DD93F5BA-C40F-4CBC-A966-A7DE46E4373E}">
      <formula1>Profil_Cinsi</formula1>
    </dataValidation>
    <dataValidation type="list" allowBlank="1" showInputMessage="1" showErrorMessage="1" sqref="B5" xr:uid="{3F6FDCAD-4D12-4F7F-95ED-A2789F8D9B95}">
      <formula1>renk</formula1>
    </dataValidation>
  </dataValidations>
  <pageMargins left="0.25" right="0.25" top="0.75" bottom="0.75" header="0.3" footer="0.3"/>
  <pageSetup paperSize="9" scale="6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1"/>
  <dimension ref="A1:D10"/>
  <sheetViews>
    <sheetView workbookViewId="0">
      <selection activeCell="E2" sqref="E2"/>
    </sheetView>
  </sheetViews>
  <sheetFormatPr defaultColWidth="8.6328125" defaultRowHeight="14.5" x14ac:dyDescent="0.25"/>
  <cols>
    <col min="1" max="16384" width="8.6328125" style="4"/>
  </cols>
  <sheetData>
    <row r="1" spans="1:4" x14ac:dyDescent="0.25">
      <c r="A1" s="4" t="s">
        <v>49</v>
      </c>
      <c r="B1" s="4" t="s">
        <v>43</v>
      </c>
      <c r="C1" s="4">
        <f>'Cam Düz Kabin'!B9-2</f>
        <v>131</v>
      </c>
      <c r="D1" s="4" t="e" vm="33">
        <v>#VALUE!</v>
      </c>
    </row>
    <row r="2" spans="1:4" x14ac:dyDescent="0.25">
      <c r="A2" s="4" t="s">
        <v>54</v>
      </c>
      <c r="B2" s="4" t="s">
        <v>43</v>
      </c>
      <c r="C2" s="4">
        <f>'Cam Düz Kabin'!B9-2</f>
        <v>131</v>
      </c>
      <c r="D2" s="4" t="e" vm="34">
        <v>#VALUE!</v>
      </c>
    </row>
    <row r="3" spans="1:4" x14ac:dyDescent="0.25">
      <c r="A3" s="4" t="s">
        <v>56</v>
      </c>
      <c r="B3" s="4" t="s">
        <v>43</v>
      </c>
      <c r="C3" s="4">
        <f>'Cam Düz Kabin'!B9-9</f>
        <v>124</v>
      </c>
      <c r="D3" s="4" t="e" vm="35">
        <v>#VALUE!</v>
      </c>
    </row>
    <row r="5" spans="1:4" x14ac:dyDescent="0.25">
      <c r="A5" s="4" t="s">
        <v>49</v>
      </c>
      <c r="B5" s="4" t="s">
        <v>51</v>
      </c>
      <c r="C5" s="4">
        <f>'Cam Düz Kabin'!B8</f>
        <v>190</v>
      </c>
      <c r="D5" s="4" t="e" vm="36">
        <v>#VALUE!</v>
      </c>
    </row>
    <row r="6" spans="1:4" x14ac:dyDescent="0.25">
      <c r="A6" s="4" t="s">
        <v>54</v>
      </c>
      <c r="B6" s="4" t="s">
        <v>51</v>
      </c>
      <c r="C6" s="4">
        <f>'Cam Düz Kabin'!B8</f>
        <v>190</v>
      </c>
      <c r="D6" s="4" t="e" vm="37">
        <v>#VALUE!</v>
      </c>
    </row>
    <row r="7" spans="1:4" x14ac:dyDescent="0.25">
      <c r="A7" s="4" t="s">
        <v>56</v>
      </c>
      <c r="B7" s="4" t="s">
        <v>51</v>
      </c>
      <c r="C7" s="4">
        <f>'Cam Düz Kabin'!B8</f>
        <v>190</v>
      </c>
      <c r="D7" s="4" t="e" vm="38">
        <v>#VALUE!</v>
      </c>
    </row>
    <row r="9" spans="1:4" x14ac:dyDescent="0.25">
      <c r="A9" s="4" t="s">
        <v>56</v>
      </c>
      <c r="B9" s="4" t="s">
        <v>44</v>
      </c>
      <c r="C9" s="4">
        <f>'Cam Düz Kabin'!B8</f>
        <v>190</v>
      </c>
      <c r="D9" s="4" t="e" vm="39">
        <v>#VALUE!</v>
      </c>
    </row>
    <row r="10" spans="1:4" x14ac:dyDescent="0.25">
      <c r="A10" s="4" t="s">
        <v>49</v>
      </c>
      <c r="B10" s="4" t="s">
        <v>44</v>
      </c>
      <c r="C10" s="4">
        <f>'Cam Düz Kabin'!B8-10</f>
        <v>180</v>
      </c>
      <c r="D10" s="4" t="e" vm="40">
        <v>#VALUE!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12"/>
  <dimension ref="A1:H18"/>
  <sheetViews>
    <sheetView workbookViewId="0">
      <selection activeCell="H1" sqref="H1:H1048576"/>
    </sheetView>
  </sheetViews>
  <sheetFormatPr defaultColWidth="8.6328125" defaultRowHeight="14.5" x14ac:dyDescent="0.25"/>
  <cols>
    <col min="1" max="1" width="8.6328125" style="4"/>
    <col min="2" max="2" width="13.6328125" style="4" customWidth="1"/>
    <col min="3" max="3" width="9" style="4"/>
    <col min="4" max="4" width="20.7265625" style="4"/>
    <col min="5" max="5" width="13.08984375" style="4" customWidth="1"/>
    <col min="6" max="6" width="13.90625" style="4" customWidth="1"/>
    <col min="7" max="16384" width="8.6328125" style="4"/>
  </cols>
  <sheetData>
    <row r="1" spans="1:8" ht="61.9" customHeight="1" x14ac:dyDescent="0.25">
      <c r="A1" s="4" t="s">
        <v>49</v>
      </c>
      <c r="B1" s="4" t="s">
        <v>43</v>
      </c>
      <c r="C1" s="4">
        <f>'Cam Köşe Kabin'!B9-2</f>
        <v>77</v>
      </c>
      <c r="D1" s="4" t="e" vm="33">
        <v>#VALUE!</v>
      </c>
      <c r="F1" s="4">
        <v>1003</v>
      </c>
      <c r="G1" s="4" t="e" vm="41">
        <v>#VALUE!</v>
      </c>
      <c r="H1" s="4" t="s">
        <v>33</v>
      </c>
    </row>
    <row r="2" spans="1:8" ht="85.9" customHeight="1" x14ac:dyDescent="0.25">
      <c r="A2" s="4" t="s">
        <v>54</v>
      </c>
      <c r="B2" s="4" t="s">
        <v>43</v>
      </c>
      <c r="C2" s="4">
        <f>'Cam Köşe Kabin'!B9-2</f>
        <v>77</v>
      </c>
      <c r="D2" s="4" t="e" vm="34">
        <v>#VALUE!</v>
      </c>
      <c r="F2" s="4">
        <v>1004</v>
      </c>
      <c r="G2" s="4" t="e" vm="42">
        <v>#VALUE!</v>
      </c>
      <c r="H2" s="4" t="s">
        <v>52</v>
      </c>
    </row>
    <row r="3" spans="1:8" ht="72" customHeight="1" x14ac:dyDescent="0.25">
      <c r="A3" s="4" t="s">
        <v>56</v>
      </c>
      <c r="B3" s="4" t="s">
        <v>43</v>
      </c>
      <c r="C3" s="4">
        <f>'Cam Köşe Kabin'!B9-9</f>
        <v>70</v>
      </c>
      <c r="D3" s="4" t="e" vm="35">
        <v>#VALUE!</v>
      </c>
      <c r="F3" s="4">
        <v>1005</v>
      </c>
      <c r="H3" s="4" t="s">
        <v>5</v>
      </c>
    </row>
    <row r="4" spans="1:8" ht="72" customHeight="1" x14ac:dyDescent="0.25">
      <c r="F4" s="4" t="s">
        <v>53</v>
      </c>
      <c r="G4" s="4" t="e" vm="43">
        <v>#VALUE!</v>
      </c>
    </row>
    <row r="5" spans="1:8" ht="64.900000000000006" customHeight="1" x14ac:dyDescent="0.25">
      <c r="A5" s="4" t="s">
        <v>49</v>
      </c>
      <c r="B5" s="4" t="s">
        <v>51</v>
      </c>
      <c r="C5" s="4">
        <f>'Cam Köşe Kabin'!B8</f>
        <v>190</v>
      </c>
      <c r="D5" s="4" t="e" vm="36">
        <v>#VALUE!</v>
      </c>
      <c r="F5" s="4" t="s">
        <v>55</v>
      </c>
      <c r="G5" s="4" t="e" vm="44">
        <v>#VALUE!</v>
      </c>
    </row>
    <row r="6" spans="1:8" ht="58.9" customHeight="1" x14ac:dyDescent="0.25">
      <c r="A6" s="4" t="s">
        <v>54</v>
      </c>
      <c r="B6" s="4" t="s">
        <v>51</v>
      </c>
      <c r="C6" s="4">
        <f>'Cam Köşe Kabin'!B8</f>
        <v>190</v>
      </c>
      <c r="D6" s="4" t="e" vm="37">
        <v>#VALUE!</v>
      </c>
      <c r="F6" s="4" t="s">
        <v>57</v>
      </c>
      <c r="G6" s="4" t="e" vm="45">
        <v>#VALUE!</v>
      </c>
    </row>
    <row r="7" spans="1:8" ht="58.9" customHeight="1" x14ac:dyDescent="0.25">
      <c r="A7" s="4" t="s">
        <v>56</v>
      </c>
      <c r="B7" s="4" t="s">
        <v>51</v>
      </c>
      <c r="C7" s="4">
        <f>'Cam Köşe Kabin'!B8</f>
        <v>190</v>
      </c>
      <c r="D7" s="4" t="e" vm="38">
        <v>#VALUE!</v>
      </c>
      <c r="F7" s="4" t="s">
        <v>58</v>
      </c>
      <c r="G7" s="4" t="e" vm="46">
        <v>#VALUE!</v>
      </c>
    </row>
    <row r="8" spans="1:8" ht="76.900000000000006" customHeight="1" x14ac:dyDescent="0.25">
      <c r="F8" s="18" t="s">
        <v>59</v>
      </c>
      <c r="G8" s="18" t="e" vm="47">
        <v>#VALUE!</v>
      </c>
    </row>
    <row r="9" spans="1:8" ht="94.15" customHeight="1" x14ac:dyDescent="0.25">
      <c r="A9" s="4" t="s">
        <v>56</v>
      </c>
      <c r="B9" s="4" t="s">
        <v>44</v>
      </c>
      <c r="C9" s="4">
        <f>'Cam Köşe Kabin'!B8</f>
        <v>190</v>
      </c>
      <c r="D9" s="4" t="e" vm="39">
        <v>#VALUE!</v>
      </c>
    </row>
    <row r="10" spans="1:8" ht="88.9" customHeight="1" x14ac:dyDescent="0.25">
      <c r="A10" s="4" t="s">
        <v>49</v>
      </c>
      <c r="B10" s="4" t="s">
        <v>44</v>
      </c>
      <c r="C10" s="4">
        <f>'Cam Köşe Kabin'!B8-10</f>
        <v>180</v>
      </c>
      <c r="D10" s="4" t="e" vm="40">
        <v>#VALUE!</v>
      </c>
    </row>
    <row r="16" spans="1:8" ht="46.9" customHeight="1" x14ac:dyDescent="0.25">
      <c r="A16" s="4" t="s">
        <v>49</v>
      </c>
      <c r="B16" s="4" t="s">
        <v>43</v>
      </c>
      <c r="C16" s="4">
        <f>'Cam Köşe Kabin'!B10-2</f>
        <v>83</v>
      </c>
      <c r="D16" s="4" t="e" vm="33">
        <v>#VALUE!</v>
      </c>
    </row>
    <row r="17" spans="1:4" ht="80.650000000000006" customHeight="1" x14ac:dyDescent="0.25">
      <c r="A17" s="4" t="s">
        <v>54</v>
      </c>
      <c r="B17" s="4" t="s">
        <v>43</v>
      </c>
      <c r="C17" s="4">
        <f>'Cam Köşe Kabin'!B10-2</f>
        <v>83</v>
      </c>
      <c r="D17" s="4" t="e" vm="34">
        <v>#VALUE!</v>
      </c>
    </row>
    <row r="18" spans="1:4" ht="88.5" customHeight="1" x14ac:dyDescent="0.25">
      <c r="A18" s="4" t="s">
        <v>56</v>
      </c>
      <c r="B18" s="4" t="s">
        <v>43</v>
      </c>
      <c r="C18" s="4">
        <f>'Cam Köşe Kabin'!B10-9</f>
        <v>76</v>
      </c>
      <c r="D18" s="4" t="e" vm="35">
        <v>#VALUE!</v>
      </c>
    </row>
  </sheetData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D52E-E404-4AA6-9990-1EBC408CE68B}">
  <sheetPr codeName="Sayfa27"/>
  <dimension ref="A1:B9"/>
  <sheetViews>
    <sheetView workbookViewId="0">
      <selection activeCell="B3" sqref="B3"/>
    </sheetView>
  </sheetViews>
  <sheetFormatPr defaultRowHeight="14" x14ac:dyDescent="0.25"/>
  <cols>
    <col min="1" max="1" width="23.6328125" customWidth="1"/>
    <col min="2" max="2" width="23.36328125" style="53" bestFit="1" customWidth="1"/>
  </cols>
  <sheetData>
    <row r="1" spans="1:2" x14ac:dyDescent="0.25">
      <c r="A1" t="s">
        <v>79</v>
      </c>
      <c r="B1" s="53" t="s">
        <v>80</v>
      </c>
    </row>
    <row r="2" spans="1:2" x14ac:dyDescent="0.25">
      <c r="A2" t="s">
        <v>81</v>
      </c>
      <c r="B2" s="53" t="s">
        <v>82</v>
      </c>
    </row>
    <row r="3" spans="1:2" x14ac:dyDescent="0.25">
      <c r="A3" t="s">
        <v>83</v>
      </c>
      <c r="B3" s="53" t="s">
        <v>90</v>
      </c>
    </row>
    <row r="4" spans="1:2" x14ac:dyDescent="0.25">
      <c r="A4" t="s">
        <v>84</v>
      </c>
      <c r="B4" s="53" t="s">
        <v>92</v>
      </c>
    </row>
    <row r="5" spans="1:2" x14ac:dyDescent="0.25">
      <c r="A5" t="s">
        <v>85</v>
      </c>
      <c r="B5" s="53" t="s">
        <v>93</v>
      </c>
    </row>
    <row r="6" spans="1:2" ht="15" x14ac:dyDescent="0.35">
      <c r="A6" t="s">
        <v>86</v>
      </c>
      <c r="B6" s="66" t="s">
        <v>114</v>
      </c>
    </row>
    <row r="7" spans="1:2" ht="15" x14ac:dyDescent="0.35">
      <c r="A7" t="s">
        <v>87</v>
      </c>
      <c r="B7" s="66" t="s">
        <v>115</v>
      </c>
    </row>
    <row r="8" spans="1:2" x14ac:dyDescent="0.25">
      <c r="A8" t="s">
        <v>88</v>
      </c>
      <c r="B8" s="53" t="s">
        <v>94</v>
      </c>
    </row>
    <row r="9" spans="1:2" x14ac:dyDescent="0.25">
      <c r="A9" t="s">
        <v>89</v>
      </c>
      <c r="B9" s="53" t="s">
        <v>91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E967-63C6-4C69-B143-DC576950206A}">
  <sheetPr codeName="Sayfa28"/>
  <dimension ref="A1:H1"/>
  <sheetViews>
    <sheetView workbookViewId="0">
      <selection activeCell="D14" sqref="D14"/>
    </sheetView>
  </sheetViews>
  <sheetFormatPr defaultColWidth="8.90625" defaultRowHeight="18" customHeight="1" x14ac:dyDescent="0.45"/>
  <cols>
    <col min="1" max="1" width="12.7265625" style="55" customWidth="1"/>
    <col min="2" max="2" width="24.7265625" style="56" customWidth="1"/>
    <col min="3" max="3" width="18.7265625" style="56" customWidth="1"/>
    <col min="4" max="4" width="32.7265625" style="56" customWidth="1"/>
    <col min="5" max="6" width="12.7265625" style="57" customWidth="1"/>
    <col min="7" max="7" width="36.7265625" style="59" customWidth="1"/>
    <col min="8" max="8" width="16.7265625" style="58" customWidth="1"/>
    <col min="9" max="16384" width="8.90625" style="54"/>
  </cols>
  <sheetData>
    <row r="1" spans="1:8" ht="18" customHeight="1" x14ac:dyDescent="0.45">
      <c r="A1" s="71" t="s">
        <v>67</v>
      </c>
      <c r="B1" s="72" t="s">
        <v>68</v>
      </c>
      <c r="C1" s="72" t="s">
        <v>0</v>
      </c>
      <c r="D1" s="72" t="s">
        <v>69</v>
      </c>
      <c r="E1" s="73" t="s">
        <v>70</v>
      </c>
      <c r="F1" s="73" t="s">
        <v>71</v>
      </c>
      <c r="G1" s="74" t="s">
        <v>72</v>
      </c>
      <c r="H1" s="75" t="s">
        <v>32</v>
      </c>
    </row>
  </sheetData>
  <autoFilter ref="A1:H1" xr:uid="{FDEAE967-63C6-4C69-B143-DC576950206A}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A9AB-A26C-429E-ADD5-9E4F7BBD973B}">
  <sheetPr codeName="Sayfa29">
    <pageSetUpPr fitToPage="1"/>
  </sheetPr>
  <dimension ref="A1:H33"/>
  <sheetViews>
    <sheetView workbookViewId="0">
      <selection activeCell="B2" sqref="B2"/>
    </sheetView>
  </sheetViews>
  <sheetFormatPr defaultRowHeight="14" x14ac:dyDescent="0.25"/>
  <cols>
    <col min="1" max="1" width="24.36328125" style="61" customWidth="1"/>
    <col min="2" max="2" width="30.7265625" style="62" customWidth="1"/>
    <col min="3" max="3" width="21.7265625" style="62" customWidth="1"/>
    <col min="4" max="4" width="8.90625" style="64"/>
    <col min="5" max="5" width="12.26953125" style="64" customWidth="1"/>
    <col min="6" max="6" width="38.453125" style="62" customWidth="1"/>
    <col min="7" max="7" width="24.26953125" style="65" customWidth="1"/>
  </cols>
  <sheetData>
    <row r="1" spans="1:8" ht="15" x14ac:dyDescent="0.35">
      <c r="A1" s="60" t="s">
        <v>73</v>
      </c>
    </row>
    <row r="2" spans="1:8" ht="15" x14ac:dyDescent="0.35">
      <c r="A2" s="61" t="s">
        <v>74</v>
      </c>
      <c r="B2" s="63" t="s">
        <v>77</v>
      </c>
      <c r="H2" s="52" t="s">
        <v>75</v>
      </c>
    </row>
    <row r="3" spans="1:8" x14ac:dyDescent="0.25">
      <c r="H3" t="s">
        <v>77</v>
      </c>
    </row>
    <row r="5" spans="1:8" ht="15" x14ac:dyDescent="0.35">
      <c r="A5" s="67" t="s">
        <v>67</v>
      </c>
      <c r="B5" s="68" t="s">
        <v>76</v>
      </c>
      <c r="C5" s="68" t="s">
        <v>69</v>
      </c>
      <c r="D5" s="69" t="s">
        <v>70</v>
      </c>
      <c r="E5" s="69" t="s">
        <v>71</v>
      </c>
      <c r="F5" s="68" t="s">
        <v>72</v>
      </c>
      <c r="G5" s="70" t="s">
        <v>78</v>
      </c>
      <c r="H5" s="52"/>
    </row>
    <row r="6" spans="1:8" x14ac:dyDescent="0.25">
      <c r="G6" s="77"/>
    </row>
    <row r="9" spans="1:8" ht="15" x14ac:dyDescent="0.35">
      <c r="F9" s="78"/>
      <c r="G9" s="79"/>
    </row>
    <row r="10" spans="1:8" ht="15" x14ac:dyDescent="0.35">
      <c r="F10" s="78"/>
      <c r="G10" s="79"/>
    </row>
    <row r="11" spans="1:8" ht="15" x14ac:dyDescent="0.35">
      <c r="F11" s="78"/>
      <c r="G11" s="79"/>
    </row>
    <row r="12" spans="1:8" ht="15" x14ac:dyDescent="0.35">
      <c r="F12" s="78"/>
      <c r="G12" s="79"/>
    </row>
    <row r="13" spans="1:8" ht="15" x14ac:dyDescent="0.35">
      <c r="F13" s="78"/>
      <c r="G13" s="79"/>
    </row>
    <row r="14" spans="1:8" ht="15" x14ac:dyDescent="0.35">
      <c r="F14" s="78"/>
      <c r="G14" s="79"/>
    </row>
    <row r="15" spans="1:8" ht="15" x14ac:dyDescent="0.35">
      <c r="F15" s="78"/>
      <c r="G15" s="79"/>
    </row>
    <row r="16" spans="1:8" ht="15" x14ac:dyDescent="0.35">
      <c r="F16" s="78"/>
      <c r="G16" s="79"/>
    </row>
    <row r="17" spans="6:7" ht="15" x14ac:dyDescent="0.35">
      <c r="F17" s="78"/>
      <c r="G17" s="79"/>
    </row>
    <row r="18" spans="6:7" ht="15" x14ac:dyDescent="0.35">
      <c r="F18" s="78"/>
      <c r="G18" s="79"/>
    </row>
    <row r="19" spans="6:7" ht="15" x14ac:dyDescent="0.35">
      <c r="F19" s="78"/>
      <c r="G19" s="79"/>
    </row>
    <row r="20" spans="6:7" ht="15" x14ac:dyDescent="0.35">
      <c r="F20" s="78"/>
      <c r="G20" s="79"/>
    </row>
    <row r="21" spans="6:7" ht="15" x14ac:dyDescent="0.35">
      <c r="F21" s="78"/>
      <c r="G21" s="79"/>
    </row>
    <row r="22" spans="6:7" ht="15" x14ac:dyDescent="0.35">
      <c r="F22" s="78"/>
      <c r="G22" s="79"/>
    </row>
    <row r="23" spans="6:7" ht="15" x14ac:dyDescent="0.35">
      <c r="F23" s="78"/>
      <c r="G23" s="79"/>
    </row>
    <row r="24" spans="6:7" ht="15" x14ac:dyDescent="0.35">
      <c r="F24" s="78"/>
      <c r="G24" s="79"/>
    </row>
    <row r="25" spans="6:7" ht="15" x14ac:dyDescent="0.35">
      <c r="F25" s="78"/>
      <c r="G25" s="79"/>
    </row>
    <row r="26" spans="6:7" ht="15" x14ac:dyDescent="0.35">
      <c r="F26" s="78"/>
      <c r="G26" s="79"/>
    </row>
    <row r="27" spans="6:7" ht="15" x14ac:dyDescent="0.35">
      <c r="F27" s="78"/>
      <c r="G27" s="79"/>
    </row>
    <row r="28" spans="6:7" ht="15" x14ac:dyDescent="0.35">
      <c r="F28" s="78"/>
      <c r="G28" s="79"/>
    </row>
    <row r="29" spans="6:7" ht="15" x14ac:dyDescent="0.35">
      <c r="F29" s="78"/>
      <c r="G29" s="79"/>
    </row>
    <row r="30" spans="6:7" ht="15" x14ac:dyDescent="0.35">
      <c r="F30" s="78"/>
      <c r="G30" s="79"/>
    </row>
    <row r="31" spans="6:7" ht="15" x14ac:dyDescent="0.35">
      <c r="F31" s="78"/>
      <c r="G31" s="79"/>
    </row>
    <row r="32" spans="6:7" ht="15" x14ac:dyDescent="0.35">
      <c r="F32" s="78"/>
      <c r="G32" s="79"/>
    </row>
    <row r="33" spans="6:7" ht="15" x14ac:dyDescent="0.35">
      <c r="F33" s="78"/>
      <c r="G33" s="79"/>
    </row>
  </sheetData>
  <conditionalFormatting sqref="A6:F32">
    <cfRule type="expression" dxfId="1" priority="185" stopIfTrue="1">
      <formula>MOD(_xludf.ROW(),2)=0</formula>
    </cfRule>
  </conditionalFormatting>
  <conditionalFormatting sqref="G6:G32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{B313ECFC-01EB-470B-9DE3-1EDF83233F91}</x14:id>
        </ext>
      </extLst>
    </cfRule>
    <cfRule type="colorScale" priority="184">
      <colorScale>
        <cfvo type="min"/>
        <cfvo type="max"/>
        <color rgb="FFFF7128"/>
        <color rgb="FFFFEF9C"/>
      </colorScale>
    </cfRule>
  </conditionalFormatting>
  <conditionalFormatting sqref="H6:H32">
    <cfRule type="expression" dxfId="0" priority="186" stopIfTrue="1">
      <formula>MOD(_xludf.ROW(),2)=0</formula>
    </cfRule>
  </conditionalFormatting>
  <dataValidations count="1">
    <dataValidation type="list" allowBlank="1" showInputMessage="1" showErrorMessage="1" errorTitle="Gecersiz Deger" error="Listeden bir ay secin (yyyy-mm)." promptTitle="Ay Sec (yyyy-mm)" prompt="Orn: 2025-08" sqref="B2" xr:uid="{585ACE30-049D-4F2D-9FA2-8D11C6A187FE}">
      <formula1>$H$3:$H$3</formula1>
    </dataValidation>
  </dataValidations>
  <pageMargins left="0.7" right="0.7" top="0.75" bottom="0.75" header="0.3" footer="0.3"/>
  <pageSetup paperSize="9" scale="50" fitToHeight="0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13ECFC-01EB-470B-9DE3-1EDF83233F91}">
            <x14:dataBar minLength="0" maxLength="100" negativeBarColorSameAsPositive="1" axisPosition="none">
              <x14:cfvo type="min"/>
              <x14:cfvo type="max"/>
            </x14:dataBar>
          </x14:cfRule>
          <xm:sqref>G6:G32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15</vt:i4>
      </vt:variant>
      <vt:variant>
        <vt:lpstr>Adlandırılmış Aralıklar</vt:lpstr>
      </vt:variant>
      <vt:variant>
        <vt:i4>13</vt:i4>
      </vt:variant>
    </vt:vector>
  </HeadingPairs>
  <TitlesOfParts>
    <vt:vector size="28" baseType="lpstr">
      <vt:lpstr>Köşe Kabin</vt:lpstr>
      <vt:lpstr>Oval Kabin</vt:lpstr>
      <vt:lpstr>1S1Ç</vt:lpstr>
      <vt:lpstr>1S2Ç</vt:lpstr>
      <vt:lpstr>2S2Ç</vt:lpstr>
      <vt:lpstr>Katlanır</vt:lpstr>
      <vt:lpstr>Cam Katlanır</vt:lpstr>
      <vt:lpstr>Cam Köşe Kabin</vt:lpstr>
      <vt:lpstr>Cam 2S2Ç Kabin</vt:lpstr>
      <vt:lpstr>Cam Düz Kabin</vt:lpstr>
      <vt:lpstr>Düz Kabin İçin</vt:lpstr>
      <vt:lpstr>Köşe Kabin İçin</vt:lpstr>
      <vt:lpstr>Parametreler</vt:lpstr>
      <vt:lpstr>Satis Listesi</vt:lpstr>
      <vt:lpstr>Aylik Satis</vt:lpstr>
      <vt:lpstr>DESENLER</vt:lpstr>
      <vt:lpstr>Profil_Cinsi</vt:lpstr>
      <vt:lpstr>renk</vt:lpstr>
      <vt:lpstr>'1S1Ç'!Yazdırma_Alanı</vt:lpstr>
      <vt:lpstr>'1S2Ç'!Yazdırma_Alanı</vt:lpstr>
      <vt:lpstr>'2S2Ç'!Yazdırma_Alanı</vt:lpstr>
      <vt:lpstr>'Cam 2S2Ç Kabin'!Yazdırma_Alanı</vt:lpstr>
      <vt:lpstr>'Cam Düz Kabin'!Yazdırma_Alanı</vt:lpstr>
      <vt:lpstr>'Cam Katlanır'!Yazdırma_Alanı</vt:lpstr>
      <vt:lpstr>'Cam Köşe Kabin'!Yazdırma_Alanı</vt:lpstr>
      <vt:lpstr>Katlanır!Yazdırma_Alanı</vt:lpstr>
      <vt:lpstr>'Köşe Kabin'!Yazdırma_Alanı</vt:lpstr>
      <vt:lpstr>'Oval Kabin'!Yazdırma_Alanı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Acer</dc:creator>
  <cp:lastModifiedBy>Faruk Şenel</cp:lastModifiedBy>
  <cp:lastPrinted>2025-08-24T20:54:31Z</cp:lastPrinted>
  <dcterms:created xsi:type="dcterms:W3CDTF">2025-08-02T11:05:00Z</dcterms:created>
  <dcterms:modified xsi:type="dcterms:W3CDTF">2025-12-15T14:25:47Z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46004F903507419899CC451F8A197F83_13</vt:lpwstr>
  </property>
  <property fmtid="{D5CDD505-2E9C-101B-9397-08002B2CF9AE}" pid="3" name="KSOProductBuildVer">
    <vt:lpwstr>1033-12.2.0.21179</vt:lpwstr>
  </property>
</Properties>
</file>